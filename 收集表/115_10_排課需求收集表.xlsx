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寫說明" sheetId="1" state="visible" r:id="rId3"/>
    <sheet name="規則表" sheetId="2" state="visible" r:id="rId4"/>
    <sheet name="科任配課" sheetId="3" state="visible" r:id="rId5"/>
    <sheet name="本土語預排" sheetId="4" state="visible" r:id="rId6"/>
    <sheet name="特教抽離" sheetId="5" state="visible" r:id="rId7"/>
    <sheet name="共同時段" sheetId="6" state="visible" r:id="rId8"/>
    <sheet name="職務限制" sheetId="7" state="visible" r:id="rId9"/>
    <sheet name="班級教室" sheetId="8" state="visible" r:id="rId10"/>
    <sheet name="老師需求" sheetId="9" state="visible" r:id="rId11"/>
    <sheet name="老師需求單" sheetId="10" state="visible" r:id="rId12"/>
    <sheet name="節數檢核" sheetId="11" state="visible" r:id="rId13"/>
    <sheet name="選項" sheetId="12" state="hidden" r:id="rId14"/>
  </sheets>
  <definedNames>
    <definedName function="false" hidden="false" localSheetId="5" name="_xlnm.Print_Titles" vbProcedure="false">共同時段!$3:$3</definedName>
    <definedName function="false" hidden="false" localSheetId="3" name="_xlnm.Print_Titles" vbProcedure="false">本土語預排!$3:$3</definedName>
    <definedName function="false" hidden="false" localSheetId="4" name="_xlnm.Print_Titles" vbProcedure="false">特教抽離!$3:$3</definedName>
    <definedName function="false" hidden="false" localSheetId="7" name="_xlnm.Print_Titles" vbProcedure="false">班級教室!$3:$3</definedName>
    <definedName function="false" hidden="false" localSheetId="2" name="_xlnm.Print_Titles" vbProcedure="false">科任配課!$3:$3</definedName>
    <definedName function="false" hidden="false" localSheetId="10" name="_xlnm.Print_Titles" vbProcedure="false">節數檢核!$3:$3</definedName>
    <definedName function="false" hidden="false" localSheetId="8" name="_xlnm.Print_Titles" vbProcedure="false">老師需求!$3:$3</definedName>
    <definedName function="false" hidden="false" localSheetId="6" name="_xlnm.Print_Titles" vbProcedure="false">職務限制!$3:$3</definedName>
    <definedName function="false" hidden="false" localSheetId="1" name="_xlnm.Print_Titles" vbProcedure="false">規則表!$3:$3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<sst xmlns="http://schemas.openxmlformats.org/spreadsheetml/2006/main" count="652" uniqueCount="420">
  <si>
    <r>
      <rPr>
        <b val="true"/>
        <sz val="18"/>
        <color rgb="FF000000"/>
        <rFont val="Noto Sans CJK SC"/>
        <family val="2"/>
      </rPr>
      <t xml:space="preserve">高雄市楠梓國小 </t>
    </r>
    <r>
      <rPr>
        <b val="true"/>
        <sz val="18"/>
        <color rgb="FF000000"/>
        <rFont val="微軟正黑體"/>
        <family val="0"/>
        <charset val="1"/>
      </rPr>
      <t xml:space="preserve">115 </t>
    </r>
    <r>
      <rPr>
        <b val="true"/>
        <sz val="18"/>
        <color rgb="FF000000"/>
        <rFont val="Noto Sans CJK SC"/>
        <family val="2"/>
      </rPr>
      <t xml:space="preserve">學年度　排課需求收集表</t>
    </r>
  </si>
  <si>
    <t xml:space="preserve">用途：收集排課所需資料，填好後直接匯入排課系統。系統只排科任課，排完後剩下的節次由導師自己排。</t>
  </si>
  <si>
    <t xml:space="preserve">頁</t>
  </si>
  <si>
    <t xml:space="preserve">工作表</t>
  </si>
  <si>
    <t xml:space="preserve">填什麼</t>
  </si>
  <si>
    <t xml:space="preserve">誰來填</t>
  </si>
  <si>
    <t xml:space="preserve">1</t>
  </si>
  <si>
    <t xml:space="preserve">規則表</t>
  </si>
  <si>
    <t xml:space="preserve">全部排課規則，一列一條。要新增規則就加一列；暫停就把「啟用」改成「否」</t>
  </si>
  <si>
    <t xml:space="preserve">教學組長</t>
  </si>
  <si>
    <t xml:space="preserve">2</t>
  </si>
  <si>
    <t xml:space="preserve">科任配課</t>
  </si>
  <si>
    <t xml:space="preserve">哪位科任老師教哪一班、什麼科目、每週幾節、在哪裡上</t>
  </si>
  <si>
    <t xml:space="preserve">3</t>
  </si>
  <si>
    <t xml:space="preserve">本土語預排</t>
  </si>
  <si>
    <t xml:space="preserve">學校已排好的本土語時段（系統直接鎖定）</t>
  </si>
  <si>
    <t xml:space="preserve">本土語承辦人</t>
  </si>
  <si>
    <t xml:space="preserve">4</t>
  </si>
  <si>
    <t xml:space="preserve">特教抽離</t>
  </si>
  <si>
    <t xml:space="preserve">抽離／集中式特教的班級、節次、抽離科目（不填學生姓名）</t>
  </si>
  <si>
    <t xml:space="preserve">特教承辦人</t>
  </si>
  <si>
    <t xml:space="preserve">5</t>
  </si>
  <si>
    <t xml:space="preserve">共同時段</t>
  </si>
  <si>
    <t xml:space="preserve">學校共同課、年段共同時段、綠色迪士尼、低年級下午不上課</t>
  </si>
  <si>
    <t xml:space="preserve">6</t>
  </si>
  <si>
    <t xml:space="preserve">職務限制</t>
  </si>
  <si>
    <t xml:space="preserve">教育局規定的職務不排時段＋擔任這些職務的老師名單（最優先處理）</t>
  </si>
  <si>
    <t xml:space="preserve">教學組長／人事</t>
  </si>
  <si>
    <t xml:space="preserve">7</t>
  </si>
  <si>
    <t xml:space="preserve">班級教室</t>
  </si>
  <si>
    <t xml:space="preserve">每班教室位置（計算跑班距離）與專科教室間數</t>
  </si>
  <si>
    <t xml:space="preserve">教學組長／總務</t>
  </si>
  <si>
    <t xml:space="preserve">8</t>
  </si>
  <si>
    <t xml:space="preserve">老師需求</t>
  </si>
  <si>
    <t xml:space="preserve">老師不想被排的時段與特殊要求</t>
  </si>
  <si>
    <t xml:space="preserve">教學組長彙整</t>
  </si>
  <si>
    <t xml:space="preserve">9</t>
  </si>
  <si>
    <t xml:space="preserve">老師需求單</t>
  </si>
  <si>
    <t xml:space="preserve">列印發給老師填寫的紙本（灰階，一人一張）</t>
  </si>
  <si>
    <t xml:space="preserve">科任老師</t>
  </si>
  <si>
    <t xml:space="preserve">10</t>
  </si>
  <si>
    <t xml:space="preserve">節數檢核</t>
  </si>
  <si>
    <t xml:space="preserve">自動計算，不用填：每班科任節數、本土語節數</t>
  </si>
  <si>
    <t xml:space="preserve">—</t>
  </si>
  <si>
    <t xml:space="preserve">填寫方式</t>
  </si>
  <si>
    <t xml:space="preserve">淺灰底格子</t>
  </si>
  <si>
    <t xml:space="preserve">請填寫（多數欄位有下拉選單，點格子右邊的小箭頭選）</t>
  </si>
  <si>
    <t xml:space="preserve">斜體灰字列</t>
  </si>
  <si>
    <t xml:space="preserve">範例，看完可以刪除，或直接覆蓋</t>
  </si>
  <si>
    <t xml:space="preserve">深灰底格子</t>
  </si>
  <si>
    <t xml:space="preserve">已鎖定的內容（不用改）</t>
  </si>
  <si>
    <t xml:space="preserve">老師需求的填寫原則</t>
  </si>
  <si>
    <r>
      <rPr>
        <sz val="11"/>
        <color rgb="FF000000"/>
        <rFont val="Noto Sans CJK SC"/>
        <family val="2"/>
      </rPr>
      <t xml:space="preserve">・每位老師「必須」最多 </t>
    </r>
    <r>
      <rPr>
        <sz val="11"/>
        <color rgb="FF000000"/>
        <rFont val="微軟正黑體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節（職務規定的不排時段另計，不佔名額），其餘請勾「希望」</t>
    </r>
  </si>
  <si>
    <t xml:space="preserve">・「必須」＝絕對不能排；「希望」＝盡量不排，但必要時可能會排</t>
  </si>
  <si>
    <t xml:space="preserve">・第七節不排正課（國、數、英、社、自）；第七節可排體育、音樂、美勞、綜合、彈性</t>
  </si>
  <si>
    <r>
      <rPr>
        <sz val="11"/>
        <color rgb="FF000000"/>
        <rFont val="Noto Sans CJK SC"/>
        <family val="2"/>
      </rPr>
      <t xml:space="preserve">・大下課、午休算休息；科任每天盡量 </t>
    </r>
    <r>
      <rPr>
        <sz val="11"/>
        <color rgb="FF000000"/>
        <rFont val="微軟正黑體"/>
        <family val="0"/>
        <charset val="1"/>
      </rPr>
      <t xml:space="preserve">6 </t>
    </r>
    <r>
      <rPr>
        <sz val="11"/>
        <color rgb="FF000000"/>
        <rFont val="Noto Sans CJK SC"/>
        <family val="2"/>
      </rPr>
      <t xml:space="preserve">節以下</t>
    </r>
  </si>
  <si>
    <t xml:space="preserve">填寫期限：＿＿＿＿年＿＿月＿＿日　　承辦：教學組</t>
  </si>
  <si>
    <r>
      <rPr>
        <b val="true"/>
        <sz val="16"/>
        <color rgb="FF000000"/>
        <rFont val="微軟正黑體"/>
        <family val="0"/>
        <charset val="1"/>
      </rPr>
      <t xml:space="preserve">1. </t>
    </r>
    <r>
      <rPr>
        <b val="true"/>
        <sz val="16"/>
        <color rgb="FF000000"/>
        <rFont val="Noto Sans CJK SC"/>
        <family val="2"/>
      </rPr>
      <t xml:space="preserve">規則表（一列一條規則）</t>
    </r>
  </si>
  <si>
    <r>
      <rPr>
        <sz val="10"/>
        <color rgb="FF404040"/>
        <rFont val="Noto Sans CJK SC"/>
        <family val="2"/>
      </rPr>
      <t xml:space="preserve">層級：</t>
    </r>
    <r>
      <rPr>
        <sz val="10"/>
        <color rgb="FF404040"/>
        <rFont val="微軟正黑體"/>
        <family val="0"/>
        <charset val="1"/>
      </rPr>
      <t xml:space="preserve">0 </t>
    </r>
    <r>
      <rPr>
        <sz val="10"/>
        <color rgb="FF404040"/>
        <rFont val="Noto Sans CJK SC"/>
        <family val="2"/>
      </rPr>
      <t xml:space="preserve">法規＝教育局／教育部規定，最優先、不能違反；</t>
    </r>
    <r>
      <rPr>
        <sz val="10"/>
        <color rgb="FF404040"/>
        <rFont val="微軟正黑體"/>
        <family val="0"/>
        <charset val="1"/>
      </rPr>
      <t xml:space="preserve">1 </t>
    </r>
    <r>
      <rPr>
        <sz val="10"/>
        <color rgb="FF404040"/>
        <rFont val="Noto Sans CJK SC"/>
        <family val="2"/>
      </rPr>
      <t xml:space="preserve">鎖定＝先鎖住不動；</t>
    </r>
    <r>
      <rPr>
        <sz val="10"/>
        <color rgb="FF404040"/>
        <rFont val="微軟正黑體"/>
        <family val="0"/>
        <charset val="1"/>
      </rPr>
      <t xml:space="preserve">2 </t>
    </r>
    <r>
      <rPr>
        <sz val="10"/>
        <color rgb="FF404040"/>
        <rFont val="Noto Sans CJK SC"/>
        <family val="2"/>
      </rPr>
      <t xml:space="preserve">必須＝不能違反；</t>
    </r>
    <r>
      <rPr>
        <sz val="10"/>
        <color rgb="FF404040"/>
        <rFont val="微軟正黑體"/>
        <family val="0"/>
        <charset val="1"/>
      </rPr>
      <t xml:space="preserve">3 </t>
    </r>
    <r>
      <rPr>
        <sz val="10"/>
        <color rgb="FF404040"/>
        <rFont val="Noto Sans CJK SC"/>
        <family val="2"/>
      </rPr>
      <t xml:space="preserve">盡量＝盡量做到（重要度高／中／低）。要新增規則就往下加一列；暫停規則把「啟用」改成「否」。「原因」欄給下一任承辦人看。</t>
    </r>
  </si>
  <si>
    <t xml:space="preserve">編號</t>
  </si>
  <si>
    <t xml:space="preserve">層級</t>
  </si>
  <si>
    <t xml:space="preserve">規則積木</t>
  </si>
  <si>
    <t xml:space="preserve">對象</t>
  </si>
  <si>
    <t xml:space="preserve">內容</t>
  </si>
  <si>
    <t xml:space="preserve">重要度</t>
  </si>
  <si>
    <t xml:space="preserve">啟用</t>
  </si>
  <si>
    <t xml:space="preserve">原因</t>
  </si>
  <si>
    <t xml:space="preserve">R01</t>
  </si>
  <si>
    <r>
      <rPr>
        <sz val="11"/>
        <color rgb="FF000000"/>
        <rFont val="微軟正黑體"/>
        <family val="0"/>
        <charset val="1"/>
      </rPr>
      <t xml:space="preserve">0 </t>
    </r>
    <r>
      <rPr>
        <sz val="11"/>
        <color rgb="FF000000"/>
        <rFont val="Noto Sans CJK SC"/>
        <family val="2"/>
      </rPr>
      <t xml:space="preserve">法規</t>
    </r>
  </si>
  <si>
    <t xml:space="preserve">職務不排時段</t>
  </si>
  <si>
    <t xml:space="preserve">依職務</t>
  </si>
  <si>
    <t xml:space="preserve">擔任特定職務的老師不排指定時段（依「職務限制」頁）</t>
  </si>
  <si>
    <t xml:space="preserve">是</t>
  </si>
  <si>
    <t xml:space="preserve">教育局規定</t>
  </si>
  <si>
    <t xml:space="preserve">R02</t>
  </si>
  <si>
    <t xml:space="preserve">科目不排時段</t>
  </si>
  <si>
    <t xml:space="preserve">國、數、英、社、自</t>
  </si>
  <si>
    <r>
      <rPr>
        <sz val="11"/>
        <color rgb="FF000000"/>
        <rFont val="Noto Sans CJK SC"/>
        <family val="2"/>
      </rPr>
      <t xml:space="preserve">不排第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節</t>
    </r>
  </si>
  <si>
    <t xml:space="preserve">教育部規定</t>
  </si>
  <si>
    <t xml:space="preserve">R03</t>
  </si>
  <si>
    <r>
      <rPr>
        <sz val="11"/>
        <color rgb="FF000000"/>
        <rFont val="微軟正黑體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鎖定</t>
    </r>
  </si>
  <si>
    <t xml:space="preserve">鎖定時段</t>
  </si>
  <si>
    <t xml:space="preserve">本土語</t>
  </si>
  <si>
    <t xml:space="preserve">依「本土語預排」頁</t>
  </si>
  <si>
    <t xml:space="preserve">學校預先排好</t>
  </si>
  <si>
    <t xml:space="preserve">R04</t>
  </si>
  <si>
    <t xml:space="preserve">依「特教抽離」頁；原班該節由導師上被抽的科目</t>
  </si>
  <si>
    <t xml:space="preserve">學生抽離時原班要上同科目</t>
  </si>
  <si>
    <t xml:space="preserve">R05</t>
  </si>
  <si>
    <t xml:space="preserve">三、四年級</t>
  </si>
  <si>
    <r>
      <rPr>
        <sz val="11"/>
        <color rgb="FF000000"/>
        <rFont val="Noto Sans CJK SC"/>
        <family val="2"/>
      </rPr>
      <t xml:space="preserve">星期一 第</t>
    </r>
    <r>
      <rPr>
        <sz val="11"/>
        <color rgb="FF000000"/>
        <rFont val="微軟正黑體"/>
        <family val="0"/>
        <charset val="1"/>
      </rPr>
      <t xml:space="preserve">5–7</t>
    </r>
    <r>
      <rPr>
        <sz val="11"/>
        <color rgb="FF000000"/>
        <rFont val="Noto Sans CJK SC"/>
        <family val="2"/>
      </rPr>
      <t xml:space="preserve">節　綜合（導師上）</t>
    </r>
  </si>
  <si>
    <t xml:space="preserve">年段共同時段</t>
  </si>
  <si>
    <t xml:space="preserve">R06</t>
  </si>
  <si>
    <t xml:space="preserve">五、六年級</t>
  </si>
  <si>
    <r>
      <rPr>
        <sz val="11"/>
        <color rgb="FF000000"/>
        <rFont val="Noto Sans CJK SC"/>
        <family val="2"/>
      </rPr>
      <t xml:space="preserve">星期四 第</t>
    </r>
    <r>
      <rPr>
        <sz val="11"/>
        <color rgb="FF000000"/>
        <rFont val="微軟正黑體"/>
        <family val="0"/>
        <charset val="1"/>
      </rPr>
      <t xml:space="preserve">5–7</t>
    </r>
    <r>
      <rPr>
        <sz val="11"/>
        <color rgb="FF000000"/>
        <rFont val="Noto Sans CJK SC"/>
        <family val="2"/>
      </rPr>
      <t xml:space="preserve">節　綜合（導師上）</t>
    </r>
  </si>
  <si>
    <t xml:space="preserve">R07</t>
  </si>
  <si>
    <t xml:space="preserve">全校</t>
  </si>
  <si>
    <r>
      <rPr>
        <sz val="11"/>
        <color rgb="FF000000"/>
        <rFont val="Noto Sans CJK SC"/>
        <family val="2"/>
      </rPr>
      <t xml:space="preserve">星期三 第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節　綠色迪士尼（導師上）</t>
    </r>
  </si>
  <si>
    <t xml:space="preserve">學校共同時段</t>
  </si>
  <si>
    <t xml:space="preserve">R08</t>
  </si>
  <si>
    <t xml:space="preserve">一、二年級</t>
  </si>
  <si>
    <t xml:space="preserve">下午不上課的日子（依「共同時段」頁）</t>
  </si>
  <si>
    <t xml:space="preserve">沿用目前作息</t>
  </si>
  <si>
    <t xml:space="preserve">R09</t>
  </si>
  <si>
    <r>
      <rPr>
        <sz val="11"/>
        <color rgb="FF000000"/>
        <rFont val="微軟正黑體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必須</t>
    </r>
  </si>
  <si>
    <t xml:space="preserve">其他</t>
  </si>
  <si>
    <t xml:space="preserve">所有老師</t>
  </si>
  <si>
    <t xml:space="preserve">同一位老師同一節只能在一個班</t>
  </si>
  <si>
    <t xml:space="preserve">基本規則</t>
  </si>
  <si>
    <t xml:space="preserve">R10</t>
  </si>
  <si>
    <t xml:space="preserve">教室容量</t>
  </si>
  <si>
    <t xml:space="preserve">專科教室</t>
  </si>
  <si>
    <r>
      <rPr>
        <sz val="11"/>
        <color rgb="FF000000"/>
        <rFont val="Noto Sans CJK SC"/>
        <family val="2"/>
      </rPr>
      <t xml:space="preserve">同一節使用班數不超過教室間數（電腦教室 </t>
    </r>
    <r>
      <rPr>
        <sz val="11"/>
        <color rgb="FF000000"/>
        <rFont val="微軟正黑體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間）</t>
    </r>
  </si>
  <si>
    <t xml:space="preserve">避免教室重複</t>
  </si>
  <si>
    <t xml:space="preserve">R11</t>
  </si>
  <si>
    <t xml:space="preserve">連堂</t>
  </si>
  <si>
    <t xml:space="preserve">自然</t>
  </si>
  <si>
    <r>
      <rPr>
        <sz val="11"/>
        <color rgb="FF000000"/>
        <rFont val="Noto Sans CJK SC"/>
        <family val="2"/>
      </rPr>
      <t xml:space="preserve">每班每週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節：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節連堂在自然教室＋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節在原班，三節不連續</t>
    </r>
  </si>
  <si>
    <t xml:space="preserve">實驗需要連堂</t>
  </si>
  <si>
    <t xml:space="preserve">R12</t>
  </si>
  <si>
    <t xml:space="preserve">老師不排時段</t>
  </si>
  <si>
    <t xml:space="preserve">個別老師</t>
  </si>
  <si>
    <r>
      <rPr>
        <sz val="11"/>
        <color rgb="FF000000"/>
        <rFont val="Noto Sans CJK SC"/>
        <family val="2"/>
      </rPr>
      <t xml:space="preserve">老師勾「必須」的時段（每人最多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節，不含職務限制）</t>
    </r>
  </si>
  <si>
    <t xml:space="preserve">依「老師需求」頁</t>
  </si>
  <si>
    <t xml:space="preserve">R13</t>
  </si>
  <si>
    <r>
      <rPr>
        <sz val="11"/>
        <color rgb="FF000000"/>
        <rFont val="微軟正黑體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盡量</t>
    </r>
  </si>
  <si>
    <t xml:space="preserve">體育</t>
  </si>
  <si>
    <r>
      <rPr>
        <sz val="11"/>
        <color rgb="FF000000"/>
        <rFont val="Noto Sans CJK SC"/>
        <family val="2"/>
      </rPr>
      <t xml:space="preserve">不排第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節</t>
    </r>
  </si>
  <si>
    <t xml:space="preserve">高</t>
  </si>
  <si>
    <t xml:space="preserve">學校原則</t>
  </si>
  <si>
    <t xml:space="preserve">R14</t>
  </si>
  <si>
    <t xml:space="preserve">每日節數上限</t>
  </si>
  <si>
    <t xml:space="preserve">所有科任</t>
  </si>
  <si>
    <r>
      <rPr>
        <sz val="11"/>
        <color rgb="FF000000"/>
        <rFont val="Noto Sans CJK SC"/>
        <family val="2"/>
      </rPr>
      <t xml:space="preserve">每天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節以下</t>
    </r>
  </si>
  <si>
    <t xml:space="preserve">老師休息</t>
  </si>
  <si>
    <t xml:space="preserve">R15</t>
  </si>
  <si>
    <t xml:space="preserve">跑班距離</t>
  </si>
  <si>
    <t xml:space="preserve">到班上課科目</t>
  </si>
  <si>
    <t xml:space="preserve">同一老師連續兩節排在同棟、同層或相鄰班級</t>
  </si>
  <si>
    <t xml:space="preserve">中</t>
  </si>
  <si>
    <r>
      <rPr>
        <sz val="11"/>
        <color rgb="FF000000"/>
        <rFont val="Noto Sans CJK SC"/>
        <family val="2"/>
      </rPr>
      <t xml:space="preserve">下課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分鐘換班、上廁所</t>
    </r>
  </si>
  <si>
    <t xml:space="preserve">R16</t>
  </si>
  <si>
    <t xml:space="preserve">老師勾「希望」的時段</t>
  </si>
  <si>
    <r>
      <rPr>
        <b val="true"/>
        <sz val="16"/>
        <color rgb="FF000000"/>
        <rFont val="微軟正黑體"/>
        <family val="0"/>
        <charset val="1"/>
      </rPr>
      <t xml:space="preserve">2. </t>
    </r>
    <r>
      <rPr>
        <b val="true"/>
        <sz val="16"/>
        <color rgb="FF000000"/>
        <rFont val="Noto Sans CJK SC"/>
        <family val="2"/>
      </rPr>
      <t xml:space="preserve">科任配課</t>
    </r>
  </si>
  <si>
    <r>
      <rPr>
        <sz val="10"/>
        <color rgb="FF404040"/>
        <rFont val="Noto Sans CJK SC"/>
        <family val="2"/>
      </rPr>
      <t xml:space="preserve">一列＝一位老師在一個班上一個科目。同一位老師教很多班就填很多列。「此老師每週總節數」會自動算（每天 </t>
    </r>
    <r>
      <rPr>
        <sz val="10"/>
        <color rgb="FF404040"/>
        <rFont val="微軟正黑體"/>
        <family val="0"/>
        <charset val="1"/>
      </rPr>
      <t xml:space="preserve">6 </t>
    </r>
    <r>
      <rPr>
        <sz val="10"/>
        <color rgb="FF404040"/>
        <rFont val="Noto Sans CJK SC"/>
        <family val="2"/>
      </rPr>
      <t xml:space="preserve">節以下＝每週最多 </t>
    </r>
    <r>
      <rPr>
        <sz val="10"/>
        <color rgb="FF404040"/>
        <rFont val="微軟正黑體"/>
        <family val="0"/>
        <charset val="1"/>
      </rPr>
      <t xml:space="preserve">30 </t>
    </r>
    <r>
      <rPr>
        <sz val="10"/>
        <color rgb="FF404040"/>
        <rFont val="Noto Sans CJK SC"/>
        <family val="2"/>
      </rPr>
      <t xml:space="preserve">節）。</t>
    </r>
  </si>
  <si>
    <t xml:space="preserve">教師姓名</t>
  </si>
  <si>
    <t xml:space="preserve">科目</t>
  </si>
  <si>
    <t xml:space="preserve">班級</t>
  </si>
  <si>
    <t xml:space="preserve">每週節數</t>
  </si>
  <si>
    <t xml:space="preserve">上課地點</t>
  </si>
  <si>
    <t xml:space="preserve">連堂節數</t>
  </si>
  <si>
    <t xml:space="preserve">備註</t>
  </si>
  <si>
    <t xml:space="preserve">此老師每週總節數</t>
  </si>
  <si>
    <t xml:space="preserve">（範例）王小明</t>
  </si>
  <si>
    <r>
      <rPr>
        <i val="true"/>
        <sz val="10"/>
        <color rgb="FF595959"/>
        <rFont val="微軟正黑體"/>
        <family val="0"/>
        <charset val="1"/>
      </rPr>
      <t xml:space="preserve">3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微軟正黑體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</rPr>
      <t xml:space="preserve">班</t>
    </r>
  </si>
  <si>
    <t xml:space="preserve">自然教室</t>
  </si>
  <si>
    <r>
      <rPr>
        <i val="true"/>
        <sz val="10"/>
        <color rgb="FF595959"/>
        <rFont val="Noto Sans CJK SC"/>
        <family val="2"/>
      </rPr>
      <t xml:space="preserve">另</t>
    </r>
    <r>
      <rPr>
        <i val="true"/>
        <sz val="10"/>
        <color rgb="FF595959"/>
        <rFont val="微軟正黑體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</rPr>
      <t xml:space="preserve">節在原班</t>
    </r>
  </si>
  <si>
    <r>
      <rPr>
        <b val="true"/>
        <sz val="16"/>
        <color rgb="FF000000"/>
        <rFont val="微軟正黑體"/>
        <family val="0"/>
        <charset val="1"/>
      </rPr>
      <t xml:space="preserve">3. </t>
    </r>
    <r>
      <rPr>
        <b val="true"/>
        <sz val="16"/>
        <color rgb="FF000000"/>
        <rFont val="Noto Sans CJK SC"/>
        <family val="2"/>
      </rPr>
      <t xml:space="preserve">本土語預排</t>
    </r>
  </si>
  <si>
    <t xml:space="preserve">學校已排好的本土語時段，系統會直接鎖定。一列＝一班的一個時段。跨班分組上課時，每個參與的班級都要各填一列。</t>
  </si>
  <si>
    <t xml:space="preserve">星期</t>
  </si>
  <si>
    <t xml:space="preserve">節次</t>
  </si>
  <si>
    <t xml:space="preserve">語別</t>
  </si>
  <si>
    <t xml:space="preserve">授課教師</t>
  </si>
  <si>
    <t xml:space="preserve">二</t>
  </si>
  <si>
    <t xml:space="preserve">閩南語</t>
  </si>
  <si>
    <t xml:space="preserve">（範例）陳老師</t>
  </si>
  <si>
    <t xml:space="preserve">原班教室</t>
  </si>
  <si>
    <r>
      <rPr>
        <b val="true"/>
        <sz val="16"/>
        <color rgb="FF000000"/>
        <rFont val="微軟正黑體"/>
        <family val="0"/>
        <charset val="1"/>
      </rPr>
      <t xml:space="preserve">4. </t>
    </r>
    <r>
      <rPr>
        <b val="true"/>
        <sz val="16"/>
        <color rgb="FF000000"/>
        <rFont val="Noto Sans CJK SC"/>
        <family val="2"/>
      </rPr>
      <t xml:space="preserve">特教抽離</t>
    </r>
  </si>
  <si>
    <t xml:space="preserve">請勿填寫學生姓名。抽離時段原班要上「抽離科目」（由導師上），系統會把那一節保留給導師並標示科目。</t>
  </si>
  <si>
    <t xml:space="preserve">類型</t>
  </si>
  <si>
    <t xml:space="preserve">原班級</t>
  </si>
  <si>
    <t xml:space="preserve">抽離科目</t>
  </si>
  <si>
    <t xml:space="preserve">特教老師</t>
  </si>
  <si>
    <t xml:space="preserve">抽離人數</t>
  </si>
  <si>
    <t xml:space="preserve">資源班抽離</t>
  </si>
  <si>
    <r>
      <rPr>
        <i val="true"/>
        <sz val="10"/>
        <color rgb="FF595959"/>
        <rFont val="微軟正黑體"/>
        <family val="0"/>
        <charset val="1"/>
      </rPr>
      <t xml:space="preserve">4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微軟正黑體"/>
        <family val="0"/>
        <charset val="1"/>
      </rPr>
      <t xml:space="preserve">2</t>
    </r>
    <r>
      <rPr>
        <i val="true"/>
        <sz val="10"/>
        <color rgb="FF595959"/>
        <rFont val="Noto Sans CJK SC"/>
        <family val="2"/>
      </rPr>
      <t xml:space="preserve">班</t>
    </r>
  </si>
  <si>
    <t xml:space="preserve">數學</t>
  </si>
  <si>
    <t xml:space="preserve">一</t>
  </si>
  <si>
    <t xml:space="preserve">（範例）林老師</t>
  </si>
  <si>
    <r>
      <rPr>
        <i val="true"/>
        <sz val="10"/>
        <color rgb="FF595959"/>
        <rFont val="Noto Sans CJK SC"/>
        <family val="2"/>
      </rPr>
      <t xml:space="preserve">同時段另有</t>
    </r>
    <r>
      <rPr>
        <i val="true"/>
        <sz val="10"/>
        <color rgb="FF595959"/>
        <rFont val="微軟正黑體"/>
        <family val="0"/>
        <charset val="1"/>
      </rPr>
      <t xml:space="preserve">4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微軟正黑體"/>
        <family val="0"/>
        <charset val="1"/>
      </rPr>
      <t xml:space="preserve">5</t>
    </r>
    <r>
      <rPr>
        <i val="true"/>
        <sz val="10"/>
        <color rgb="FF595959"/>
        <rFont val="Noto Sans CJK SC"/>
        <family val="2"/>
      </rPr>
      <t xml:space="preserve">班</t>
    </r>
  </si>
  <si>
    <r>
      <rPr>
        <b val="true"/>
        <sz val="16"/>
        <color rgb="FF000000"/>
        <rFont val="微軟正黑體"/>
        <family val="0"/>
        <charset val="1"/>
      </rPr>
      <t xml:space="preserve">5. </t>
    </r>
    <r>
      <rPr>
        <b val="true"/>
        <sz val="16"/>
        <color rgb="FF000000"/>
        <rFont val="Noto Sans CJK SC"/>
        <family val="2"/>
      </rPr>
      <t xml:space="preserve">共同時段</t>
    </r>
  </si>
  <si>
    <t xml:space="preserve">學校共同課、年段共同時段等全部要先鎖住的時段。已填好目前確認的內容，請補上空白處。</t>
  </si>
  <si>
    <t xml:space="preserve">課程／活動</t>
  </si>
  <si>
    <t xml:space="preserve">誰上</t>
  </si>
  <si>
    <t xml:space="preserve">鎖定</t>
  </si>
  <si>
    <t xml:space="preserve">三</t>
  </si>
  <si>
    <t xml:space="preserve">綠色迪士尼</t>
  </si>
  <si>
    <t xml:space="preserve">導師</t>
  </si>
  <si>
    <t xml:space="preserve">5–7</t>
  </si>
  <si>
    <t xml:space="preserve">綜合</t>
  </si>
  <si>
    <t xml:space="preserve">四</t>
  </si>
  <si>
    <t xml:space="preserve">下午</t>
  </si>
  <si>
    <t xml:space="preserve">不上課</t>
  </si>
  <si>
    <t xml:space="preserve">請填星期（沿用目前作息）</t>
  </si>
  <si>
    <t xml:space="preserve">（學校共同課）</t>
  </si>
  <si>
    <t xml:space="preserve">請補填</t>
  </si>
  <si>
    <r>
      <rPr>
        <b val="true"/>
        <sz val="16"/>
        <color rgb="FF000000"/>
        <rFont val="微軟正黑體"/>
        <family val="0"/>
        <charset val="1"/>
      </rPr>
      <t xml:space="preserve">6. </t>
    </r>
    <r>
      <rPr>
        <b val="true"/>
        <sz val="16"/>
        <color rgb="FF000000"/>
        <rFont val="Noto Sans CJK SC"/>
        <family val="2"/>
      </rPr>
      <t xml:space="preserve">職務限制（教育局規定，最優先）</t>
    </r>
  </si>
  <si>
    <t xml:space="preserve">左邊：規則跟著「職務」走，不跟著人。明年只要更新右邊的名單，規則不用重填。請在「依據」欄寫上公文文號或規定名稱，方便交接查證。</t>
  </si>
  <si>
    <t xml:space="preserve">職務</t>
  </si>
  <si>
    <t xml:space="preserve">節次／時段</t>
  </si>
  <si>
    <t xml:space="preserve">依據（文號／規定）</t>
  </si>
  <si>
    <t xml:space="preserve">擔任職務</t>
  </si>
  <si>
    <t xml:space="preserve">（範例）○○輔導團團員</t>
  </si>
  <si>
    <t xml:space="preserve">高市教○字第○○○號</t>
  </si>
  <si>
    <t xml:space="preserve">○○輔導團團員</t>
  </si>
  <si>
    <r>
      <rPr>
        <b val="true"/>
        <sz val="16"/>
        <color rgb="FF000000"/>
        <rFont val="微軟正黑體"/>
        <family val="0"/>
        <charset val="1"/>
      </rPr>
      <t xml:space="preserve">7. </t>
    </r>
    <r>
      <rPr>
        <b val="true"/>
        <sz val="16"/>
        <color rgb="FF000000"/>
        <rFont val="Noto Sans CJK SC"/>
        <family val="2"/>
      </rPr>
      <t xml:space="preserve">班級教室位置</t>
    </r>
  </si>
  <si>
    <t xml:space="preserve">用來計算跑班距離：同一位老師連續兩節，盡量排在同棟、同層或相鄰的教室。右邊是專科教室清單。</t>
  </si>
  <si>
    <t xml:space="preserve">棟別</t>
  </si>
  <si>
    <t xml:space="preserve">樓層</t>
  </si>
  <si>
    <t xml:space="preserve">教室編號</t>
  </si>
  <si>
    <t xml:space="preserve">間數</t>
  </si>
  <si>
    <t xml:space="preserve">同一節最多幾班</t>
  </si>
  <si>
    <t xml:space="preserve">位置（棟／樓）</t>
  </si>
  <si>
    <t xml:space="preserve">使用科目</t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</si>
  <si>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</si>
  <si>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班</t>
    </r>
  </si>
  <si>
    <t xml:space="preserve">音樂教室</t>
  </si>
  <si>
    <t xml:space="preserve">音樂</t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</si>
  <si>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班</t>
    </r>
  </si>
  <si>
    <t xml:space="preserve">電腦教室</t>
  </si>
  <si>
    <t xml:space="preserve">資訊</t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</si>
  <si>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班</t>
    </r>
  </si>
  <si>
    <t xml:space="preserve">操場／體育館</t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</si>
  <si>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</si>
  <si>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</si>
  <si>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</si>
  <si>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</si>
  <si>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</si>
  <si>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</si>
  <si>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</si>
  <si>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</si>
  <si>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</si>
  <si>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</si>
  <si>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</si>
  <si>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</si>
  <si>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</si>
  <si>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</si>
  <si>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</si>
  <si>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</si>
  <si>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</si>
  <si>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</si>
  <si>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</si>
  <si>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</si>
  <si>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</si>
  <si>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</si>
  <si>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</si>
  <si>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</si>
  <si>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</si>
  <si>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</si>
  <si>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</si>
  <si>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</si>
  <si>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</si>
  <si>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</si>
  <si>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</si>
  <si>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</si>
  <si>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</si>
  <si>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</si>
  <si>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</si>
  <si>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</si>
  <si>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</si>
  <si>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</si>
  <si>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</si>
  <si>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</si>
  <si>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</si>
  <si>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</si>
  <si>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</si>
  <si>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</si>
  <si>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</si>
  <si>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</si>
  <si>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</si>
  <si>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</si>
  <si>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</si>
  <si>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</si>
  <si>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</si>
  <si>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</si>
  <si>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</si>
  <si>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</si>
  <si>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</si>
  <si>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</si>
  <si>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</si>
  <si>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</si>
  <si>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</si>
  <si>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</si>
  <si>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</si>
  <si>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</si>
  <si>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</si>
  <si>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9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</si>
  <si>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</si>
  <si>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班</t>
    </r>
  </si>
  <si>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微軟正黑體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班</t>
    </r>
  </si>
  <si>
    <r>
      <rPr>
        <b val="true"/>
        <sz val="16"/>
        <color rgb="FF000000"/>
        <rFont val="微軟正黑體"/>
        <family val="0"/>
        <charset val="1"/>
      </rPr>
      <t xml:space="preserve">8. </t>
    </r>
    <r>
      <rPr>
        <b val="true"/>
        <sz val="16"/>
        <color rgb="FF000000"/>
        <rFont val="Noto Sans CJK SC"/>
        <family val="2"/>
      </rPr>
      <t xml:space="preserve">老師個人需求</t>
    </r>
  </si>
  <si>
    <r>
      <rPr>
        <sz val="10"/>
        <color rgb="FF404040"/>
        <rFont val="Noto Sans CJK SC"/>
        <family val="2"/>
      </rPr>
      <t xml:space="preserve">一列＝一個不想被排的時段。「必須」每人最多 </t>
    </r>
    <r>
      <rPr>
        <sz val="10"/>
        <color rgb="FF404040"/>
        <rFont val="微軟正黑體"/>
        <family val="0"/>
        <charset val="1"/>
      </rPr>
      <t xml:space="preserve">3 </t>
    </r>
    <r>
      <rPr>
        <sz val="10"/>
        <color rgb="FF404040"/>
        <rFont val="Noto Sans CJK SC"/>
        <family val="2"/>
      </rPr>
      <t xml:space="preserve">節，其餘請選「希望」。節次可選 </t>
    </r>
    <r>
      <rPr>
        <sz val="10"/>
        <color rgb="FF404040"/>
        <rFont val="微軟正黑體"/>
        <family val="0"/>
        <charset val="1"/>
      </rPr>
      <t xml:space="preserve">1–7</t>
    </r>
    <r>
      <rPr>
        <sz val="10"/>
        <color rgb="FF404040"/>
        <rFont val="Noto Sans CJK SC"/>
        <family val="2"/>
      </rPr>
      <t xml:space="preserve">，或上午／下午／整天。</t>
    </r>
  </si>
  <si>
    <t xml:space="preserve">程度</t>
  </si>
  <si>
    <t xml:space="preserve">原因（選填）</t>
  </si>
  <si>
    <t xml:space="preserve">此老師「必須」節數</t>
  </si>
  <si>
    <t xml:space="preserve">五</t>
  </si>
  <si>
    <t xml:space="preserve">希望</t>
  </si>
  <si>
    <t xml:space="preserve">接送小孩</t>
  </si>
  <si>
    <r>
      <rPr>
        <b val="true"/>
        <sz val="18"/>
        <color rgb="FF000000"/>
        <rFont val="微軟正黑體"/>
        <family val="0"/>
        <charset val="1"/>
      </rPr>
      <t xml:space="preserve">115 </t>
    </r>
    <r>
      <rPr>
        <b val="true"/>
        <sz val="18"/>
        <color rgb="FF000000"/>
        <rFont val="Noto Sans CJK SC"/>
        <family val="2"/>
      </rPr>
      <t xml:space="preserve">學年度　科任老師排課需求單</t>
    </r>
  </si>
  <si>
    <t xml:space="preserve">教師姓名：＿＿＿＿＿＿＿＿　任教科目：＿＿＿＿＿＿＿＿</t>
  </si>
  <si>
    <r>
      <rPr>
        <sz val="12"/>
        <color rgb="FF000000"/>
        <rFont val="Noto Sans CJK SC"/>
        <family val="2"/>
      </rPr>
      <t xml:space="preserve">請在不想被排課的格子畫記：「○」＝希望不排　「●」＝必須不排（最多 </t>
    </r>
    <r>
      <rPr>
        <sz val="12"/>
        <color rgb="FF000000"/>
        <rFont val="微軟正黑體"/>
        <family val="0"/>
        <charset val="1"/>
      </rPr>
      <t xml:space="preserve">3 </t>
    </r>
    <r>
      <rPr>
        <sz val="12"/>
        <color rgb="FF000000"/>
        <rFont val="Noto Sans CJK SC"/>
        <family val="2"/>
      </rPr>
      <t xml:space="preserve">格）</t>
    </r>
  </si>
  <si>
    <t xml:space="preserve">星期一</t>
  </si>
  <si>
    <t xml:space="preserve">星期二</t>
  </si>
  <si>
    <t xml:space="preserve">星期三</t>
  </si>
  <si>
    <t xml:space="preserve">星期四</t>
  </si>
  <si>
    <t xml:space="preserve">星期五</t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</si>
  <si>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1</t>
    </r>
    <r>
      <rPr>
        <b val="true"/>
        <sz val="13"/>
        <color rgb="FF000000"/>
        <rFont val="Noto Sans CJK SC"/>
        <family val="2"/>
      </rPr>
      <t xml:space="preserve">節</t>
    </r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</si>
  <si>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2</t>
    </r>
    <r>
      <rPr>
        <b val="true"/>
        <sz val="13"/>
        <color rgb="FF000000"/>
        <rFont val="Noto Sans CJK SC"/>
        <family val="2"/>
      </rPr>
      <t xml:space="preserve">節</t>
    </r>
  </si>
  <si>
    <t xml:space="preserve">大下課</t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</si>
  <si>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3</t>
    </r>
    <r>
      <rPr>
        <b val="true"/>
        <sz val="13"/>
        <color rgb="FF000000"/>
        <rFont val="Noto Sans CJK SC"/>
        <family val="2"/>
      </rPr>
      <t xml:space="preserve">節</t>
    </r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</si>
  <si>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4</t>
    </r>
    <r>
      <rPr>
        <b val="true"/>
        <sz val="13"/>
        <color rgb="FF000000"/>
        <rFont val="Noto Sans CJK SC"/>
        <family val="2"/>
      </rPr>
      <t xml:space="preserve">節</t>
    </r>
  </si>
  <si>
    <t xml:space="preserve">午餐・午休</t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</si>
  <si>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5</t>
    </r>
    <r>
      <rPr>
        <b val="true"/>
        <sz val="13"/>
        <color rgb="FF000000"/>
        <rFont val="Noto Sans CJK SC"/>
        <family val="2"/>
      </rPr>
      <t xml:space="preserve">節</t>
    </r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</si>
  <si>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6</t>
    </r>
    <r>
      <rPr>
        <b val="true"/>
        <sz val="13"/>
        <color rgb="FF000000"/>
        <rFont val="Noto Sans CJK SC"/>
        <family val="2"/>
      </rPr>
      <t xml:space="preserve">節</t>
    </r>
  </si>
  <si>
    <r>
      <rPr>
        <b val="true"/>
        <sz val="13"/>
        <color rgb="FF000000"/>
        <rFont val="Noto Sans CJK SC"/>
        <family val="2"/>
      </rPr>
      <t xml:space="preserve">第</t>
    </r>
    <r>
      <rPr>
        <b val="true"/>
        <sz val="13"/>
        <color rgb="FF000000"/>
        <rFont val="微軟正黑體"/>
        <family val="0"/>
        <charset val="1"/>
      </rPr>
      <t xml:space="preserve">7</t>
    </r>
    <r>
      <rPr>
        <b val="true"/>
        <sz val="13"/>
        <color rgb="FF000000"/>
        <rFont val="Noto Sans CJK SC"/>
        <family val="2"/>
      </rPr>
      <t xml:space="preserve">節</t>
    </r>
  </si>
  <si>
    <t xml:space="preserve">其他特殊要求或說明：</t>
  </si>
  <si>
    <r>
      <rPr>
        <sz val="10"/>
        <color rgb="FF404040"/>
        <rFont val="Noto Sans CJK SC"/>
        <family val="2"/>
      </rPr>
      <t xml:space="preserve">※「必須」最多 </t>
    </r>
    <r>
      <rPr>
        <sz val="10"/>
        <color rgb="FF404040"/>
        <rFont val="微軟正黑體"/>
        <family val="0"/>
        <charset val="1"/>
      </rPr>
      <t xml:space="preserve">3 </t>
    </r>
    <r>
      <rPr>
        <sz val="10"/>
        <color rgb="FF404040"/>
        <rFont val="Noto Sans CJK SC"/>
        <family val="2"/>
      </rPr>
      <t xml:space="preserve">格，若大家都填同一時段可能排不出來，還請見諒。填好請交回教學組，謝謝您！</t>
    </r>
  </si>
  <si>
    <r>
      <rPr>
        <b val="true"/>
        <sz val="16"/>
        <color rgb="FF000000"/>
        <rFont val="微軟正黑體"/>
        <family val="0"/>
        <charset val="1"/>
      </rPr>
      <t xml:space="preserve">10. </t>
    </r>
    <r>
      <rPr>
        <b val="true"/>
        <sz val="16"/>
        <color rgb="FF000000"/>
        <rFont val="Noto Sans CJK SC"/>
        <family val="2"/>
      </rPr>
      <t xml:space="preserve">節數檢核（自動計算，不用填）</t>
    </r>
  </si>
  <si>
    <r>
      <rPr>
        <sz val="10"/>
        <color rgb="FF404040"/>
        <rFont val="Noto Sans CJK SC"/>
        <family val="2"/>
      </rPr>
      <t xml:space="preserve">依「科任配課」「本土語預排」自動計算。科任節數為 </t>
    </r>
    <r>
      <rPr>
        <sz val="10"/>
        <color rgb="FF404040"/>
        <rFont val="微軟正黑體"/>
        <family val="0"/>
        <charset val="1"/>
      </rPr>
      <t xml:space="preserve">0 </t>
    </r>
    <r>
      <rPr>
        <sz val="10"/>
        <color rgb="FF404040"/>
        <rFont val="Noto Sans CJK SC"/>
        <family val="2"/>
      </rPr>
      <t xml:space="preserve">的班級，代表還沒填配課。</t>
    </r>
  </si>
  <si>
    <t xml:space="preserve">科任節數</t>
  </si>
  <si>
    <t xml:space="preserve">其中到專科教室</t>
  </si>
  <si>
    <t xml:space="preserve">本土語節數</t>
  </si>
  <si>
    <t xml:space="preserve">特教抽離節數</t>
  </si>
  <si>
    <t xml:space="preserve">合計</t>
  </si>
  <si>
    <t xml:space="preserve">地點</t>
  </si>
  <si>
    <t xml:space="preserve">特教類型</t>
  </si>
  <si>
    <t xml:space="preserve">時段</t>
  </si>
  <si>
    <t xml:space="preserve">積木</t>
  </si>
  <si>
    <t xml:space="preserve">英語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</si>
  <si>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班</t>
    </r>
  </si>
  <si>
    <t xml:space="preserve">必須</t>
  </si>
  <si>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法規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</si>
  <si>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班</t>
    </r>
  </si>
  <si>
    <t xml:space="preserve">客語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</si>
  <si>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鎖定</t>
    </r>
  </si>
  <si>
    <t xml:space="preserve">否</t>
  </si>
  <si>
    <t xml:space="preserve">集中式特教班</t>
  </si>
  <si>
    <t xml:space="preserve">社會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</si>
  <si>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班</t>
    </r>
  </si>
  <si>
    <t xml:space="preserve">族語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</si>
  <si>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必須</t>
    </r>
  </si>
  <si>
    <t xml:space="preserve">低</t>
  </si>
  <si>
    <t xml:space="preserve">健康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</si>
  <si>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班</t>
    </r>
  </si>
  <si>
    <t xml:space="preserve">新住民語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</si>
  <si>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盡量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</si>
  <si>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班</t>
    </r>
  </si>
  <si>
    <t xml:space="preserve">臺灣手語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</si>
  <si>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班</t>
    </r>
  </si>
  <si>
    <t xml:space="preserve">其他專科教室</t>
  </si>
  <si>
    <t xml:space="preserve">美勞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</si>
  <si>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</si>
  <si>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班</t>
    </r>
  </si>
  <si>
    <t xml:space="preserve">上午</t>
  </si>
  <si>
    <t xml:space="preserve">表演藝術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</si>
  <si>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</si>
  <si>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班</t>
    </r>
  </si>
  <si>
    <t xml:space="preserve">整天</t>
  </si>
  <si>
    <t xml:space="preserve">彈性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</si>
  <si>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</si>
  <si>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</si>
  <si>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</si>
  <si>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</si>
  <si>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</si>
  <si>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</si>
  <si>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</si>
  <si>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</si>
  <si>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</si>
  <si>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</si>
  <si>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</si>
  <si>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</si>
  <si>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</si>
  <si>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</si>
  <si>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</si>
  <si>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</si>
  <si>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</si>
  <si>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</si>
  <si>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</si>
  <si>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</si>
  <si>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</si>
  <si>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</si>
  <si>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</si>
  <si>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</si>
  <si>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</si>
  <si>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</si>
  <si>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</si>
  <si>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</si>
  <si>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</si>
  <si>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</si>
  <si>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</si>
  <si>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</si>
  <si>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</si>
  <si>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</si>
  <si>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</si>
  <si>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</si>
  <si>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</si>
  <si>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</si>
  <si>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</si>
  <si>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</si>
  <si>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</si>
  <si>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</si>
  <si>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</si>
  <si>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</si>
  <si>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</si>
  <si>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</si>
  <si>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</si>
  <si>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</si>
  <si>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</si>
  <si>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</si>
  <si>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</si>
  <si>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</si>
  <si>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</si>
  <si>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</si>
  <si>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</si>
  <si>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</si>
  <si>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</si>
  <si>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</si>
  <si>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</si>
  <si>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班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</si>
  <si>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班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</si>
</sst>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Noto Sans CJK SC"/>
      <family val="2"/>
    </font>
    <font>
      <b val="true"/>
      <sz val="18"/>
      <color rgb="FF000000"/>
      <name val="微軟正黑體"/>
      <family val="0"/>
      <charset val="1"/>
    </font>
    <font>
      <sz val="11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000000"/>
      <name val="微軟正黑體"/>
      <family val="0"/>
      <charset val="1"/>
    </font>
    <font>
      <b val="true"/>
      <sz val="13"/>
      <color rgb="FF000000"/>
      <name val="Noto Sans CJK SC"/>
      <family val="2"/>
    </font>
    <font>
      <b val="true"/>
      <sz val="11"/>
      <color rgb="FF595959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6"/>
      <color rgb="FF000000"/>
      <name val="微軟正黑體"/>
      <family val="0"/>
      <charset val="1"/>
    </font>
    <font>
      <b val="true"/>
      <sz val="16"/>
      <color rgb="FF000000"/>
      <name val="Noto Sans CJK SC"/>
      <family val="2"/>
    </font>
    <font>
      <sz val="10"/>
      <color rgb="FF404040"/>
      <name val="Noto Sans CJK SC"/>
      <family val="2"/>
    </font>
    <font>
      <sz val="10"/>
      <color rgb="FF404040"/>
      <name val="微軟正黑體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微軟正黑體"/>
      <family val="0"/>
      <charset val="1"/>
    </font>
    <font>
      <b val="true"/>
      <sz val="11"/>
      <color rgb="FF000000"/>
      <name val="微軟正黑體"/>
      <family val="0"/>
      <charset val="1"/>
    </font>
    <font>
      <sz val="13"/>
      <color rgb="FF000000"/>
      <name val="Noto Sans CJK SC"/>
      <family val="2"/>
    </font>
    <font>
      <sz val="12"/>
      <color rgb="FF000000"/>
      <name val="Noto Sans CJK SC"/>
      <family val="2"/>
    </font>
    <font>
      <sz val="12"/>
      <color rgb="FF000000"/>
      <name val="微軟正黑體"/>
      <family val="0"/>
      <charset val="1"/>
    </font>
    <font>
      <b val="true"/>
      <sz val="13"/>
      <color rgb="FFFFFFFF"/>
      <name val="Noto Sans CJK SC"/>
      <family val="2"/>
    </font>
    <font>
      <b val="true"/>
      <sz val="13"/>
      <color rgb="FF000000"/>
      <name val="微軟正黑體"/>
      <family val="0"/>
      <charset val="1"/>
    </font>
    <font>
      <sz val="10"/>
      <color rgb="FF595959"/>
      <name val="Noto Sans CJK SC"/>
      <family val="2"/>
    </font>
    <font>
      <b val="true"/>
      <sz val="12"/>
      <color rgb="FF000000"/>
      <name val="Noto Sans CJK SC"/>
      <family val="2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0"/>
  </cols>
  <sheetData>
    <row r="1" customFormat="false" ht="27.6" hidden="false" customHeight="false" outlineLevel="0" collapsed="false">
      <c r="A1" s="1" t="s">
        <v>0</v>
      </c>
      <c r="B1" s="1"/>
      <c r="C1" s="1"/>
      <c r="D1" s="1"/>
    </row>
    <row r="2" customFormat="false" ht="33.75" hidden="false" customHeight="true" outlineLevel="0" collapsed="false">
      <c r="A2" s="2" t="s">
        <v>1</v>
      </c>
      <c r="B2" s="2"/>
      <c r="C2" s="2"/>
      <c r="D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1.5" hidden="false" customHeight="true" outlineLevel="0" collapsed="false">
      <c r="A5" s="4" t="s">
        <v>6</v>
      </c>
      <c r="B5" s="5" t="s">
        <v>7</v>
      </c>
      <c r="C5" s="6" t="s">
        <v>8</v>
      </c>
      <c r="D5" s="5" t="s">
        <v>9</v>
      </c>
    </row>
    <row r="6" customFormat="false" ht="31.5" hidden="false" customHeight="true" outlineLevel="0" collapsed="false">
      <c r="A6" s="4" t="s">
        <v>10</v>
      </c>
      <c r="B6" s="5" t="s">
        <v>11</v>
      </c>
      <c r="C6" s="6" t="s">
        <v>12</v>
      </c>
      <c r="D6" s="5" t="s">
        <v>9</v>
      </c>
    </row>
    <row r="7" customFormat="false" ht="31.5" hidden="false" customHeight="true" outlineLevel="0" collapsed="false">
      <c r="A7" s="4" t="s">
        <v>13</v>
      </c>
      <c r="B7" s="5" t="s">
        <v>14</v>
      </c>
      <c r="C7" s="6" t="s">
        <v>15</v>
      </c>
      <c r="D7" s="5" t="s">
        <v>16</v>
      </c>
    </row>
    <row r="8" customFormat="false" ht="31.5" hidden="false" customHeight="true" outlineLevel="0" collapsed="false">
      <c r="A8" s="4" t="s">
        <v>17</v>
      </c>
      <c r="B8" s="5" t="s">
        <v>18</v>
      </c>
      <c r="C8" s="6" t="s">
        <v>19</v>
      </c>
      <c r="D8" s="5" t="s">
        <v>20</v>
      </c>
    </row>
    <row r="9" customFormat="false" ht="31.5" hidden="false" customHeight="true" outlineLevel="0" collapsed="false">
      <c r="A9" s="4" t="s">
        <v>21</v>
      </c>
      <c r="B9" s="5" t="s">
        <v>22</v>
      </c>
      <c r="C9" s="6" t="s">
        <v>23</v>
      </c>
      <c r="D9" s="5" t="s">
        <v>9</v>
      </c>
    </row>
    <row r="10" customFormat="false" ht="31.5" hidden="false" customHeight="true" outlineLevel="0" collapsed="false">
      <c r="A10" s="4" t="s">
        <v>24</v>
      </c>
      <c r="B10" s="5" t="s">
        <v>25</v>
      </c>
      <c r="C10" s="6" t="s">
        <v>26</v>
      </c>
      <c r="D10" s="5" t="s">
        <v>27</v>
      </c>
    </row>
    <row r="11" customFormat="false" ht="31.5" hidden="false" customHeight="true" outlineLevel="0" collapsed="false">
      <c r="A11" s="4" t="s">
        <v>28</v>
      </c>
      <c r="B11" s="5" t="s">
        <v>29</v>
      </c>
      <c r="C11" s="6" t="s">
        <v>30</v>
      </c>
      <c r="D11" s="5" t="s">
        <v>31</v>
      </c>
    </row>
    <row r="12" customFormat="false" ht="31.5" hidden="false" customHeight="true" outlineLevel="0" collapsed="false">
      <c r="A12" s="4" t="s">
        <v>32</v>
      </c>
      <c r="B12" s="5" t="s">
        <v>33</v>
      </c>
      <c r="C12" s="6" t="s">
        <v>34</v>
      </c>
      <c r="D12" s="5" t="s">
        <v>35</v>
      </c>
    </row>
    <row r="13" customFormat="false" ht="31.5" hidden="false" customHeight="true" outlineLevel="0" collapsed="false">
      <c r="A13" s="4" t="s">
        <v>36</v>
      </c>
      <c r="B13" s="5" t="s">
        <v>37</v>
      </c>
      <c r="C13" s="6" t="s">
        <v>38</v>
      </c>
      <c r="D13" s="5" t="s">
        <v>39</v>
      </c>
    </row>
    <row r="14" customFormat="false" ht="31.5" hidden="false" customHeight="true" outlineLevel="0" collapsed="false">
      <c r="A14" s="4" t="s">
        <v>40</v>
      </c>
      <c r="B14" s="5" t="s">
        <v>41</v>
      </c>
      <c r="C14" s="6" t="s">
        <v>42</v>
      </c>
      <c r="D14" s="4" t="s">
        <v>43</v>
      </c>
    </row>
    <row r="16" customFormat="false" ht="16.15" hidden="false" customHeight="false" outlineLevel="0" collapsed="false">
      <c r="A16" s="7" t="s">
        <v>44</v>
      </c>
    </row>
    <row r="17" customFormat="false" ht="17.15" hidden="false" customHeight="true" outlineLevel="0" collapsed="false">
      <c r="B17" s="8" t="s">
        <v>45</v>
      </c>
      <c r="C17" s="2" t="s">
        <v>46</v>
      </c>
      <c r="D17" s="2"/>
    </row>
    <row r="18" customFormat="false" ht="17.15" hidden="false" customHeight="true" outlineLevel="0" collapsed="false">
      <c r="B18" s="9" t="s">
        <v>47</v>
      </c>
      <c r="C18" s="2" t="s">
        <v>48</v>
      </c>
      <c r="D18" s="2"/>
    </row>
    <row r="19" customFormat="false" ht="17.15" hidden="false" customHeight="true" outlineLevel="0" collapsed="false">
      <c r="B19" s="10" t="s">
        <v>49</v>
      </c>
      <c r="C19" s="2" t="s">
        <v>50</v>
      </c>
      <c r="D19" s="2"/>
    </row>
    <row r="21" customFormat="false" ht="16.15" hidden="false" customHeight="false" outlineLevel="0" collapsed="false">
      <c r="A21" s="7" t="s">
        <v>51</v>
      </c>
    </row>
    <row r="22" customFormat="false" ht="17.15" hidden="false" customHeight="true" outlineLevel="0" collapsed="false">
      <c r="A22" s="2" t="s">
        <v>52</v>
      </c>
      <c r="B22" s="2"/>
      <c r="C22" s="2"/>
      <c r="D22" s="2"/>
    </row>
    <row r="23" customFormat="false" ht="17.15" hidden="false" customHeight="true" outlineLevel="0" collapsed="false">
      <c r="A23" s="2" t="s">
        <v>53</v>
      </c>
      <c r="B23" s="2"/>
      <c r="C23" s="2"/>
      <c r="D23" s="2"/>
    </row>
    <row r="24" customFormat="false" ht="17.15" hidden="false" customHeight="true" outlineLevel="0" collapsed="false">
      <c r="A24" s="2" t="s">
        <v>54</v>
      </c>
      <c r="B24" s="2"/>
      <c r="C24" s="2"/>
      <c r="D24" s="2"/>
    </row>
    <row r="25" customFormat="false" ht="17.15" hidden="false" customHeight="true" outlineLevel="0" collapsed="false">
      <c r="A25" s="2" t="s">
        <v>55</v>
      </c>
      <c r="B25" s="2"/>
      <c r="C25" s="2"/>
      <c r="D25" s="2"/>
    </row>
    <row r="27" customFormat="false" ht="15" hidden="false" customHeight="false" outlineLevel="0" collapsed="false">
      <c r="A27" s="11" t="s">
        <v>56</v>
      </c>
    </row>
  </sheetData>
  <mergeCells count="9">
    <mergeCell ref="A1:D1"/>
    <mergeCell ref="A2:D2"/>
    <mergeCell ref="C17:D17"/>
    <mergeCell ref="C18:D18"/>
    <mergeCell ref="C19:D19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2" t="s">
        <v>57</v>
      </c>
      <c r="B1" s="12"/>
      <c r="C1" s="12"/>
      <c r="D1" s="12"/>
      <c r="E1" s="12"/>
      <c r="F1" s="12"/>
      <c r="G1" s="12"/>
      <c r="H1" s="12"/>
    </row>
    <row r="2" customFormat="false" ht="36" hidden="false" customHeight="true" outlineLevel="0" collapsed="false">
      <c r="A2" s="13" t="s">
        <v>58</v>
      </c>
      <c r="B2" s="13"/>
      <c r="C2" s="13"/>
      <c r="D2" s="13"/>
      <c r="E2" s="13"/>
      <c r="F2" s="13"/>
      <c r="G2" s="13"/>
      <c r="H2" s="13"/>
    </row>
    <row r="3" customFormat="false" ht="17.15" hidden="false" customHeight="false" outlineLevel="0" collapsed="false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</row>
    <row r="4" customFormat="false" ht="30" hidden="false" customHeight="true" outlineLevel="0" collapsed="false">
      <c r="A4" s="14" t="s">
        <v>67</v>
      </c>
      <c r="B4" s="14" t="s">
        <v>68</v>
      </c>
      <c r="C4" s="10" t="s">
        <v>69</v>
      </c>
      <c r="D4" s="10" t="s">
        <v>70</v>
      </c>
      <c r="E4" s="15" t="s">
        <v>71</v>
      </c>
      <c r="F4" s="14" t="s">
        <v>43</v>
      </c>
      <c r="G4" s="10" t="s">
        <v>72</v>
      </c>
      <c r="H4" s="15" t="s">
        <v>73</v>
      </c>
    </row>
    <row r="5" customFormat="false" ht="30" hidden="false" customHeight="true" outlineLevel="0" collapsed="false">
      <c r="A5" s="14" t="s">
        <v>74</v>
      </c>
      <c r="B5" s="14" t="s">
        <v>68</v>
      </c>
      <c r="C5" s="10" t="s">
        <v>75</v>
      </c>
      <c r="D5" s="10" t="s">
        <v>76</v>
      </c>
      <c r="E5" s="15" t="s">
        <v>77</v>
      </c>
      <c r="F5" s="14" t="s">
        <v>43</v>
      </c>
      <c r="G5" s="10" t="s">
        <v>72</v>
      </c>
      <c r="H5" s="15" t="s">
        <v>78</v>
      </c>
    </row>
    <row r="6" customFormat="false" ht="30" hidden="false" customHeight="true" outlineLevel="0" collapsed="false">
      <c r="A6" s="14" t="s">
        <v>79</v>
      </c>
      <c r="B6" s="14" t="s">
        <v>80</v>
      </c>
      <c r="C6" s="10" t="s">
        <v>81</v>
      </c>
      <c r="D6" s="10" t="s">
        <v>82</v>
      </c>
      <c r="E6" s="15" t="s">
        <v>83</v>
      </c>
      <c r="F6" s="14" t="s">
        <v>43</v>
      </c>
      <c r="G6" s="10" t="s">
        <v>72</v>
      </c>
      <c r="H6" s="15" t="s">
        <v>84</v>
      </c>
    </row>
    <row r="7" customFormat="false" ht="30" hidden="false" customHeight="true" outlineLevel="0" collapsed="false">
      <c r="A7" s="14" t="s">
        <v>85</v>
      </c>
      <c r="B7" s="14" t="s">
        <v>80</v>
      </c>
      <c r="C7" s="10" t="s">
        <v>81</v>
      </c>
      <c r="D7" s="10" t="s">
        <v>18</v>
      </c>
      <c r="E7" s="15" t="s">
        <v>86</v>
      </c>
      <c r="F7" s="14" t="s">
        <v>43</v>
      </c>
      <c r="G7" s="10" t="s">
        <v>72</v>
      </c>
      <c r="H7" s="15" t="s">
        <v>87</v>
      </c>
    </row>
    <row r="8" customFormat="false" ht="30" hidden="false" customHeight="true" outlineLevel="0" collapsed="false">
      <c r="A8" s="14" t="s">
        <v>88</v>
      </c>
      <c r="B8" s="14" t="s">
        <v>80</v>
      </c>
      <c r="C8" s="10" t="s">
        <v>81</v>
      </c>
      <c r="D8" s="10" t="s">
        <v>89</v>
      </c>
      <c r="E8" s="15" t="s">
        <v>90</v>
      </c>
      <c r="F8" s="14" t="s">
        <v>43</v>
      </c>
      <c r="G8" s="10" t="s">
        <v>72</v>
      </c>
      <c r="H8" s="15" t="s">
        <v>91</v>
      </c>
    </row>
    <row r="9" customFormat="false" ht="30" hidden="false" customHeight="true" outlineLevel="0" collapsed="false">
      <c r="A9" s="14" t="s">
        <v>92</v>
      </c>
      <c r="B9" s="14" t="s">
        <v>80</v>
      </c>
      <c r="C9" s="10" t="s">
        <v>81</v>
      </c>
      <c r="D9" s="10" t="s">
        <v>93</v>
      </c>
      <c r="E9" s="15" t="s">
        <v>94</v>
      </c>
      <c r="F9" s="14" t="s">
        <v>43</v>
      </c>
      <c r="G9" s="10" t="s">
        <v>72</v>
      </c>
      <c r="H9" s="15" t="s">
        <v>91</v>
      </c>
    </row>
    <row r="10" customFormat="false" ht="30" hidden="false" customHeight="true" outlineLevel="0" collapsed="false">
      <c r="A10" s="14" t="s">
        <v>95</v>
      </c>
      <c r="B10" s="14" t="s">
        <v>80</v>
      </c>
      <c r="C10" s="10" t="s">
        <v>81</v>
      </c>
      <c r="D10" s="10" t="s">
        <v>96</v>
      </c>
      <c r="E10" s="15" t="s">
        <v>97</v>
      </c>
      <c r="F10" s="14" t="s">
        <v>43</v>
      </c>
      <c r="G10" s="10" t="s">
        <v>72</v>
      </c>
      <c r="H10" s="15" t="s">
        <v>98</v>
      </c>
    </row>
    <row r="11" customFormat="false" ht="30" hidden="false" customHeight="true" outlineLevel="0" collapsed="false">
      <c r="A11" s="14" t="s">
        <v>99</v>
      </c>
      <c r="B11" s="14" t="s">
        <v>80</v>
      </c>
      <c r="C11" s="10" t="s">
        <v>81</v>
      </c>
      <c r="D11" s="10" t="s">
        <v>100</v>
      </c>
      <c r="E11" s="15" t="s">
        <v>101</v>
      </c>
      <c r="F11" s="14" t="s">
        <v>43</v>
      </c>
      <c r="G11" s="10" t="s">
        <v>72</v>
      </c>
      <c r="H11" s="15" t="s">
        <v>102</v>
      </c>
    </row>
    <row r="12" customFormat="false" ht="30" hidden="false" customHeight="true" outlineLevel="0" collapsed="false">
      <c r="A12" s="16" t="s">
        <v>103</v>
      </c>
      <c r="B12" s="16" t="s">
        <v>104</v>
      </c>
      <c r="C12" s="8" t="s">
        <v>105</v>
      </c>
      <c r="D12" s="8" t="s">
        <v>106</v>
      </c>
      <c r="E12" s="17" t="s">
        <v>107</v>
      </c>
      <c r="F12" s="16" t="s">
        <v>43</v>
      </c>
      <c r="G12" s="8" t="s">
        <v>72</v>
      </c>
      <c r="H12" s="17" t="s">
        <v>108</v>
      </c>
    </row>
    <row r="13" customFormat="false" ht="30" hidden="false" customHeight="true" outlineLevel="0" collapsed="false">
      <c r="A13" s="16" t="s">
        <v>109</v>
      </c>
      <c r="B13" s="16" t="s">
        <v>104</v>
      </c>
      <c r="C13" s="8" t="s">
        <v>110</v>
      </c>
      <c r="D13" s="8" t="s">
        <v>111</v>
      </c>
      <c r="E13" s="17" t="s">
        <v>112</v>
      </c>
      <c r="F13" s="16" t="s">
        <v>43</v>
      </c>
      <c r="G13" s="8" t="s">
        <v>72</v>
      </c>
      <c r="H13" s="17" t="s">
        <v>113</v>
      </c>
    </row>
    <row r="14" customFormat="false" ht="30" hidden="false" customHeight="true" outlineLevel="0" collapsed="false">
      <c r="A14" s="16" t="s">
        <v>114</v>
      </c>
      <c r="B14" s="16" t="s">
        <v>104</v>
      </c>
      <c r="C14" s="8" t="s">
        <v>115</v>
      </c>
      <c r="D14" s="8" t="s">
        <v>116</v>
      </c>
      <c r="E14" s="17" t="s">
        <v>117</v>
      </c>
      <c r="F14" s="16" t="s">
        <v>43</v>
      </c>
      <c r="G14" s="8" t="s">
        <v>72</v>
      </c>
      <c r="H14" s="17" t="s">
        <v>118</v>
      </c>
    </row>
    <row r="15" customFormat="false" ht="30" hidden="false" customHeight="true" outlineLevel="0" collapsed="false">
      <c r="A15" s="16" t="s">
        <v>119</v>
      </c>
      <c r="B15" s="16" t="s">
        <v>104</v>
      </c>
      <c r="C15" s="8" t="s">
        <v>120</v>
      </c>
      <c r="D15" s="8" t="s">
        <v>121</v>
      </c>
      <c r="E15" s="17" t="s">
        <v>122</v>
      </c>
      <c r="F15" s="16" t="s">
        <v>43</v>
      </c>
      <c r="G15" s="8" t="s">
        <v>72</v>
      </c>
      <c r="H15" s="17" t="s">
        <v>123</v>
      </c>
    </row>
    <row r="16" customFormat="false" ht="30" hidden="false" customHeight="true" outlineLevel="0" collapsed="false">
      <c r="A16" s="16" t="s">
        <v>124</v>
      </c>
      <c r="B16" s="16" t="s">
        <v>125</v>
      </c>
      <c r="C16" s="8" t="s">
        <v>75</v>
      </c>
      <c r="D16" s="8" t="s">
        <v>126</v>
      </c>
      <c r="E16" s="17" t="s">
        <v>127</v>
      </c>
      <c r="F16" s="8" t="s">
        <v>128</v>
      </c>
      <c r="G16" s="8" t="s">
        <v>72</v>
      </c>
      <c r="H16" s="17" t="s">
        <v>129</v>
      </c>
    </row>
    <row r="17" customFormat="false" ht="30" hidden="false" customHeight="true" outlineLevel="0" collapsed="false">
      <c r="A17" s="16" t="s">
        <v>130</v>
      </c>
      <c r="B17" s="16" t="s">
        <v>125</v>
      </c>
      <c r="C17" s="8" t="s">
        <v>131</v>
      </c>
      <c r="D17" s="8" t="s">
        <v>132</v>
      </c>
      <c r="E17" s="17" t="s">
        <v>133</v>
      </c>
      <c r="F17" s="8" t="s">
        <v>128</v>
      </c>
      <c r="G17" s="8" t="s">
        <v>72</v>
      </c>
      <c r="H17" s="17" t="s">
        <v>134</v>
      </c>
    </row>
    <row r="18" customFormat="false" ht="30" hidden="false" customHeight="true" outlineLevel="0" collapsed="false">
      <c r="A18" s="16" t="s">
        <v>135</v>
      </c>
      <c r="B18" s="16" t="s">
        <v>125</v>
      </c>
      <c r="C18" s="8" t="s">
        <v>136</v>
      </c>
      <c r="D18" s="8" t="s">
        <v>137</v>
      </c>
      <c r="E18" s="17" t="s">
        <v>138</v>
      </c>
      <c r="F18" s="8" t="s">
        <v>139</v>
      </c>
      <c r="G18" s="8" t="s">
        <v>72</v>
      </c>
      <c r="H18" s="17" t="s">
        <v>140</v>
      </c>
    </row>
    <row r="19" customFormat="false" ht="30" hidden="false" customHeight="true" outlineLevel="0" collapsed="false">
      <c r="A19" s="16" t="s">
        <v>141</v>
      </c>
      <c r="B19" s="16" t="s">
        <v>125</v>
      </c>
      <c r="C19" s="8" t="s">
        <v>120</v>
      </c>
      <c r="D19" s="8" t="s">
        <v>121</v>
      </c>
      <c r="E19" s="17" t="s">
        <v>142</v>
      </c>
      <c r="F19" s="8" t="s">
        <v>139</v>
      </c>
      <c r="G19" s="8" t="s">
        <v>72</v>
      </c>
      <c r="H19" s="17" t="s">
        <v>123</v>
      </c>
    </row>
  </sheetData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B4:B19" type="list">
      <formula1>選項!$G$2:$G$5</formula1>
      <formula2>0</formula2>
    </dataValidation>
    <dataValidation allowBlank="true" errorStyle="stop" operator="between" showDropDown="false" showErrorMessage="false" showInputMessage="false" sqref="C4:C19" type="list">
      <formula1>選項!$M$2:$M$10</formula1>
      <formula2>0</formula2>
    </dataValidation>
    <dataValidation allowBlank="true" errorStyle="stop" operator="between" showDropDown="false" showErrorMessage="false" showInputMessage="false" sqref="F4:F19" type="list">
      <formula1>選項!$H$2:$H$5</formula1>
      <formula2>0</formula2>
    </dataValidation>
    <dataValidation allowBlank="true" errorStyle="stop" operator="between" showDropDown="false" showErrorMessage="false" showInputMessage="false" sqref="G4:G19" type="list">
      <formula1>選項!$I$2:$I$3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2" t="s">
        <v>143</v>
      </c>
      <c r="B1" s="12"/>
      <c r="C1" s="12"/>
      <c r="D1" s="12"/>
      <c r="E1" s="12"/>
      <c r="F1" s="12"/>
      <c r="G1" s="12"/>
      <c r="H1" s="12"/>
    </row>
    <row r="2" customFormat="false" ht="36" hidden="false" customHeight="true" outlineLevel="0" collapsed="false">
      <c r="A2" s="13" t="s">
        <v>144</v>
      </c>
      <c r="B2" s="13"/>
      <c r="C2" s="13"/>
      <c r="D2" s="13"/>
      <c r="E2" s="13"/>
      <c r="F2" s="13"/>
      <c r="G2" s="13"/>
      <c r="H2" s="13"/>
    </row>
    <row r="3" customFormat="false" ht="32.8" hidden="false" customHeight="false" outlineLevel="0" collapsed="false">
      <c r="A3" s="3" t="s">
        <v>145</v>
      </c>
      <c r="B3" s="3" t="s">
        <v>146</v>
      </c>
      <c r="C3" s="3" t="s">
        <v>147</v>
      </c>
      <c r="D3" s="3" t="s">
        <v>148</v>
      </c>
      <c r="E3" s="3" t="s">
        <v>149</v>
      </c>
      <c r="F3" s="3" t="s">
        <v>150</v>
      </c>
      <c r="G3" s="3" t="s">
        <v>151</v>
      </c>
      <c r="H3" s="3" t="s">
        <v>152</v>
      </c>
    </row>
    <row r="4" customFormat="false" ht="15" hidden="false" customHeight="false" outlineLevel="0" collapsed="false">
      <c r="A4" s="18" t="s">
        <v>153</v>
      </c>
      <c r="B4" s="18" t="s">
        <v>116</v>
      </c>
      <c r="C4" s="19" t="s">
        <v>154</v>
      </c>
      <c r="D4" s="18" t="n">
        <v>3</v>
      </c>
      <c r="E4" s="18" t="s">
        <v>155</v>
      </c>
      <c r="F4" s="18" t="n">
        <v>2</v>
      </c>
      <c r="G4" s="18" t="s">
        <v>156</v>
      </c>
      <c r="H4" s="18"/>
    </row>
    <row r="5" customFormat="false" ht="15" hidden="false" customHeight="false" outlineLevel="0" collapsed="false">
      <c r="A5" s="8"/>
      <c r="B5" s="16"/>
      <c r="C5" s="16"/>
      <c r="D5" s="8"/>
      <c r="E5" s="16"/>
      <c r="F5" s="8"/>
      <c r="G5" s="8"/>
      <c r="H5" s="20" t="str">
        <f aca="false">IF(A5="","",SUMIF($A$5:$A$304,A5,$D$5:$D$304))</f>
        <v/>
      </c>
    </row>
    <row r="6" customFormat="false" ht="15" hidden="false" customHeight="false" outlineLevel="0" collapsed="false">
      <c r="A6" s="8"/>
      <c r="B6" s="16"/>
      <c r="C6" s="16"/>
      <c r="D6" s="8"/>
      <c r="E6" s="16"/>
      <c r="F6" s="8"/>
      <c r="G6" s="8"/>
      <c r="H6" s="20" t="str">
        <f aca="false">IF(A6="","",SUMIF($A$5:$A$304,A6,$D$5:$D$304))</f>
        <v/>
      </c>
    </row>
    <row r="7" customFormat="false" ht="15" hidden="false" customHeight="false" outlineLevel="0" collapsed="false">
      <c r="A7" s="8"/>
      <c r="B7" s="16"/>
      <c r="C7" s="16"/>
      <c r="D7" s="8"/>
      <c r="E7" s="16"/>
      <c r="F7" s="8"/>
      <c r="G7" s="8"/>
      <c r="H7" s="20" t="str">
        <f aca="false">IF(A7="","",SUMIF($A$5:$A$304,A7,$D$5:$D$304))</f>
        <v/>
      </c>
    </row>
    <row r="8" customFormat="false" ht="15" hidden="false" customHeight="false" outlineLevel="0" collapsed="false">
      <c r="A8" s="8"/>
      <c r="B8" s="16"/>
      <c r="C8" s="16"/>
      <c r="D8" s="8"/>
      <c r="E8" s="16"/>
      <c r="F8" s="8"/>
      <c r="G8" s="8"/>
      <c r="H8" s="20" t="str">
        <f aca="false">IF(A8="","",SUMIF($A$5:$A$304,A8,$D$5:$D$304))</f>
        <v/>
      </c>
    </row>
    <row r="9" customFormat="false" ht="15" hidden="false" customHeight="false" outlineLevel="0" collapsed="false">
      <c r="A9" s="8"/>
      <c r="B9" s="16"/>
      <c r="C9" s="16"/>
      <c r="D9" s="8"/>
      <c r="E9" s="16"/>
      <c r="F9" s="8"/>
      <c r="G9" s="8"/>
      <c r="H9" s="20" t="str">
        <f aca="false">IF(A9="","",SUMIF($A$5:$A$304,A9,$D$5:$D$304))</f>
        <v/>
      </c>
    </row>
    <row r="10" customFormat="false" ht="15" hidden="false" customHeight="false" outlineLevel="0" collapsed="false">
      <c r="A10" s="8"/>
      <c r="B10" s="16"/>
      <c r="C10" s="16"/>
      <c r="D10" s="8"/>
      <c r="E10" s="16"/>
      <c r="F10" s="8"/>
      <c r="G10" s="8"/>
      <c r="H10" s="20" t="str">
        <f aca="false">IF(A10="","",SUMIF($A$5:$A$304,A10,$D$5:$D$304))</f>
        <v/>
      </c>
    </row>
    <row r="11" customFormat="false" ht="15" hidden="false" customHeight="false" outlineLevel="0" collapsed="false">
      <c r="A11" s="8"/>
      <c r="B11" s="16"/>
      <c r="C11" s="16"/>
      <c r="D11" s="8"/>
      <c r="E11" s="16"/>
      <c r="F11" s="8"/>
      <c r="G11" s="8"/>
      <c r="H11" s="20" t="str">
        <f aca="false">IF(A11="","",SUMIF($A$5:$A$304,A11,$D$5:$D$304))</f>
        <v/>
      </c>
    </row>
    <row r="12" customFormat="false" ht="15" hidden="false" customHeight="false" outlineLevel="0" collapsed="false">
      <c r="A12" s="8"/>
      <c r="B12" s="16"/>
      <c r="C12" s="16"/>
      <c r="D12" s="8"/>
      <c r="E12" s="16"/>
      <c r="F12" s="8"/>
      <c r="G12" s="8"/>
      <c r="H12" s="20" t="str">
        <f aca="false">IF(A12="","",SUMIF($A$5:$A$304,A12,$D$5:$D$304))</f>
        <v/>
      </c>
    </row>
    <row r="13" customFormat="false" ht="15" hidden="false" customHeight="false" outlineLevel="0" collapsed="false">
      <c r="A13" s="8"/>
      <c r="B13" s="16"/>
      <c r="C13" s="16"/>
      <c r="D13" s="8"/>
      <c r="E13" s="16"/>
      <c r="F13" s="8"/>
      <c r="G13" s="8"/>
      <c r="H13" s="20" t="str">
        <f aca="false">IF(A13="","",SUMIF($A$5:$A$304,A13,$D$5:$D$304))</f>
        <v/>
      </c>
    </row>
    <row r="14" customFormat="false" ht="15" hidden="false" customHeight="false" outlineLevel="0" collapsed="false">
      <c r="A14" s="8"/>
      <c r="B14" s="16"/>
      <c r="C14" s="16"/>
      <c r="D14" s="8"/>
      <c r="E14" s="16"/>
      <c r="F14" s="8"/>
      <c r="G14" s="8"/>
      <c r="H14" s="20" t="str">
        <f aca="false">IF(A14="","",SUMIF($A$5:$A$304,A14,$D$5:$D$304))</f>
        <v/>
      </c>
    </row>
    <row r="15" customFormat="false" ht="15" hidden="false" customHeight="false" outlineLevel="0" collapsed="false">
      <c r="A15" s="8"/>
      <c r="B15" s="16"/>
      <c r="C15" s="16"/>
      <c r="D15" s="8"/>
      <c r="E15" s="16"/>
      <c r="F15" s="8"/>
      <c r="G15" s="8"/>
      <c r="H15" s="20" t="str">
        <f aca="false">IF(A15="","",SUMIF($A$5:$A$304,A15,$D$5:$D$304))</f>
        <v/>
      </c>
    </row>
    <row r="16" customFormat="false" ht="15" hidden="false" customHeight="false" outlineLevel="0" collapsed="false">
      <c r="A16" s="8"/>
      <c r="B16" s="16"/>
      <c r="C16" s="16"/>
      <c r="D16" s="8"/>
      <c r="E16" s="16"/>
      <c r="F16" s="8"/>
      <c r="G16" s="8"/>
      <c r="H16" s="20" t="str">
        <f aca="false">IF(A16="","",SUMIF($A$5:$A$304,A16,$D$5:$D$304))</f>
        <v/>
      </c>
    </row>
    <row r="17" customFormat="false" ht="15" hidden="false" customHeight="false" outlineLevel="0" collapsed="false">
      <c r="A17" s="8"/>
      <c r="B17" s="16"/>
      <c r="C17" s="16"/>
      <c r="D17" s="8"/>
      <c r="E17" s="16"/>
      <c r="F17" s="8"/>
      <c r="G17" s="8"/>
      <c r="H17" s="20" t="str">
        <f aca="false">IF(A17="","",SUMIF($A$5:$A$304,A17,$D$5:$D$304))</f>
        <v/>
      </c>
    </row>
    <row r="18" customFormat="false" ht="15" hidden="false" customHeight="false" outlineLevel="0" collapsed="false">
      <c r="A18" s="8"/>
      <c r="B18" s="16"/>
      <c r="C18" s="16"/>
      <c r="D18" s="8"/>
      <c r="E18" s="16"/>
      <c r="F18" s="8"/>
      <c r="G18" s="8"/>
      <c r="H18" s="20" t="str">
        <f aca="false">IF(A18="","",SUMIF($A$5:$A$304,A18,$D$5:$D$304))</f>
        <v/>
      </c>
    </row>
    <row r="19" customFormat="false" ht="15" hidden="false" customHeight="false" outlineLevel="0" collapsed="false">
      <c r="A19" s="8"/>
      <c r="B19" s="16"/>
      <c r="C19" s="16"/>
      <c r="D19" s="8"/>
      <c r="E19" s="16"/>
      <c r="F19" s="8"/>
      <c r="G19" s="8"/>
      <c r="H19" s="20" t="str">
        <f aca="false">IF(A19="","",SUMIF($A$5:$A$304,A19,$D$5:$D$304))</f>
        <v/>
      </c>
    </row>
    <row r="20" customFormat="false" ht="15" hidden="false" customHeight="false" outlineLevel="0" collapsed="false">
      <c r="A20" s="8"/>
      <c r="B20" s="16"/>
      <c r="C20" s="16"/>
      <c r="D20" s="8"/>
      <c r="E20" s="16"/>
      <c r="F20" s="8"/>
      <c r="G20" s="8"/>
      <c r="H20" s="20" t="str">
        <f aca="false">IF(A20="","",SUMIF($A$5:$A$304,A20,$D$5:$D$304))</f>
        <v/>
      </c>
    </row>
    <row r="21" customFormat="false" ht="15" hidden="false" customHeight="false" outlineLevel="0" collapsed="false">
      <c r="A21" s="8"/>
      <c r="B21" s="16"/>
      <c r="C21" s="16"/>
      <c r="D21" s="8"/>
      <c r="E21" s="16"/>
      <c r="F21" s="8"/>
      <c r="G21" s="8"/>
      <c r="H21" s="20" t="str">
        <f aca="false">IF(A21="","",SUMIF($A$5:$A$304,A21,$D$5:$D$304))</f>
        <v/>
      </c>
    </row>
    <row r="22" customFormat="false" ht="15" hidden="false" customHeight="false" outlineLevel="0" collapsed="false">
      <c r="A22" s="8"/>
      <c r="B22" s="16"/>
      <c r="C22" s="16"/>
      <c r="D22" s="8"/>
      <c r="E22" s="16"/>
      <c r="F22" s="8"/>
      <c r="G22" s="8"/>
      <c r="H22" s="20" t="str">
        <f aca="false">IF(A22="","",SUMIF($A$5:$A$304,A22,$D$5:$D$304))</f>
        <v/>
      </c>
    </row>
    <row r="23" customFormat="false" ht="15" hidden="false" customHeight="false" outlineLevel="0" collapsed="false">
      <c r="A23" s="8"/>
      <c r="B23" s="16"/>
      <c r="C23" s="16"/>
      <c r="D23" s="8"/>
      <c r="E23" s="16"/>
      <c r="F23" s="8"/>
      <c r="G23" s="8"/>
      <c r="H23" s="20" t="str">
        <f aca="false">IF(A23="","",SUMIF($A$5:$A$304,A23,$D$5:$D$304))</f>
        <v/>
      </c>
    </row>
    <row r="24" customFormat="false" ht="15" hidden="false" customHeight="false" outlineLevel="0" collapsed="false">
      <c r="A24" s="8"/>
      <c r="B24" s="16"/>
      <c r="C24" s="16"/>
      <c r="D24" s="8"/>
      <c r="E24" s="16"/>
      <c r="F24" s="8"/>
      <c r="G24" s="8"/>
      <c r="H24" s="20" t="str">
        <f aca="false">IF(A24="","",SUMIF($A$5:$A$304,A24,$D$5:$D$304))</f>
        <v/>
      </c>
    </row>
    <row r="25" customFormat="false" ht="15" hidden="false" customHeight="false" outlineLevel="0" collapsed="false">
      <c r="A25" s="8"/>
      <c r="B25" s="16"/>
      <c r="C25" s="16"/>
      <c r="D25" s="8"/>
      <c r="E25" s="16"/>
      <c r="F25" s="8"/>
      <c r="G25" s="8"/>
      <c r="H25" s="20" t="str">
        <f aca="false">IF(A25="","",SUMIF($A$5:$A$304,A25,$D$5:$D$304))</f>
        <v/>
      </c>
    </row>
    <row r="26" customFormat="false" ht="15" hidden="false" customHeight="false" outlineLevel="0" collapsed="false">
      <c r="A26" s="8"/>
      <c r="B26" s="16"/>
      <c r="C26" s="16"/>
      <c r="D26" s="8"/>
      <c r="E26" s="16"/>
      <c r="F26" s="8"/>
      <c r="G26" s="8"/>
      <c r="H26" s="20" t="str">
        <f aca="false">IF(A26="","",SUMIF($A$5:$A$304,A26,$D$5:$D$304))</f>
        <v/>
      </c>
    </row>
    <row r="27" customFormat="false" ht="15" hidden="false" customHeight="false" outlineLevel="0" collapsed="false">
      <c r="A27" s="8"/>
      <c r="B27" s="16"/>
      <c r="C27" s="16"/>
      <c r="D27" s="8"/>
      <c r="E27" s="16"/>
      <c r="F27" s="8"/>
      <c r="G27" s="8"/>
      <c r="H27" s="20" t="str">
        <f aca="false">IF(A27="","",SUMIF($A$5:$A$304,A27,$D$5:$D$304))</f>
        <v/>
      </c>
    </row>
    <row r="28" customFormat="false" ht="15" hidden="false" customHeight="false" outlineLevel="0" collapsed="false">
      <c r="A28" s="8"/>
      <c r="B28" s="16"/>
      <c r="C28" s="16"/>
      <c r="D28" s="8"/>
      <c r="E28" s="16"/>
      <c r="F28" s="8"/>
      <c r="G28" s="8"/>
      <c r="H28" s="20" t="str">
        <f aca="false">IF(A28="","",SUMIF($A$5:$A$304,A28,$D$5:$D$304))</f>
        <v/>
      </c>
    </row>
    <row r="29" customFormat="false" ht="15" hidden="false" customHeight="false" outlineLevel="0" collapsed="false">
      <c r="A29" s="8"/>
      <c r="B29" s="16"/>
      <c r="C29" s="16"/>
      <c r="D29" s="8"/>
      <c r="E29" s="16"/>
      <c r="F29" s="8"/>
      <c r="G29" s="8"/>
      <c r="H29" s="20" t="str">
        <f aca="false">IF(A29="","",SUMIF($A$5:$A$304,A29,$D$5:$D$304))</f>
        <v/>
      </c>
    </row>
    <row r="30" customFormat="false" ht="15" hidden="false" customHeight="false" outlineLevel="0" collapsed="false">
      <c r="A30" s="8"/>
      <c r="B30" s="16"/>
      <c r="C30" s="16"/>
      <c r="D30" s="8"/>
      <c r="E30" s="16"/>
      <c r="F30" s="8"/>
      <c r="G30" s="8"/>
      <c r="H30" s="20" t="str">
        <f aca="false">IF(A30="","",SUMIF($A$5:$A$304,A30,$D$5:$D$304))</f>
        <v/>
      </c>
    </row>
    <row r="31" customFormat="false" ht="15" hidden="false" customHeight="false" outlineLevel="0" collapsed="false">
      <c r="A31" s="8"/>
      <c r="B31" s="16"/>
      <c r="C31" s="16"/>
      <c r="D31" s="8"/>
      <c r="E31" s="16"/>
      <c r="F31" s="8"/>
      <c r="G31" s="8"/>
      <c r="H31" s="20" t="str">
        <f aca="false">IF(A31="","",SUMIF($A$5:$A$304,A31,$D$5:$D$304))</f>
        <v/>
      </c>
    </row>
    <row r="32" customFormat="false" ht="15" hidden="false" customHeight="false" outlineLevel="0" collapsed="false">
      <c r="A32" s="8"/>
      <c r="B32" s="16"/>
      <c r="C32" s="16"/>
      <c r="D32" s="8"/>
      <c r="E32" s="16"/>
      <c r="F32" s="8"/>
      <c r="G32" s="8"/>
      <c r="H32" s="20" t="str">
        <f aca="false">IF(A32="","",SUMIF($A$5:$A$304,A32,$D$5:$D$304))</f>
        <v/>
      </c>
    </row>
    <row r="33" customFormat="false" ht="15" hidden="false" customHeight="false" outlineLevel="0" collapsed="false">
      <c r="A33" s="8"/>
      <c r="B33" s="16"/>
      <c r="C33" s="16"/>
      <c r="D33" s="8"/>
      <c r="E33" s="16"/>
      <c r="F33" s="8"/>
      <c r="G33" s="8"/>
      <c r="H33" s="20" t="str">
        <f aca="false">IF(A33="","",SUMIF($A$5:$A$304,A33,$D$5:$D$304))</f>
        <v/>
      </c>
    </row>
    <row r="34" customFormat="false" ht="15" hidden="false" customHeight="false" outlineLevel="0" collapsed="false">
      <c r="A34" s="8"/>
      <c r="B34" s="16"/>
      <c r="C34" s="16"/>
      <c r="D34" s="8"/>
      <c r="E34" s="16"/>
      <c r="F34" s="8"/>
      <c r="G34" s="8"/>
      <c r="H34" s="20" t="str">
        <f aca="false">IF(A34="","",SUMIF($A$5:$A$304,A34,$D$5:$D$304))</f>
        <v/>
      </c>
    </row>
    <row r="35" customFormat="false" ht="15" hidden="false" customHeight="false" outlineLevel="0" collapsed="false">
      <c r="A35" s="8"/>
      <c r="B35" s="16"/>
      <c r="C35" s="16"/>
      <c r="D35" s="8"/>
      <c r="E35" s="16"/>
      <c r="F35" s="8"/>
      <c r="G35" s="8"/>
      <c r="H35" s="20" t="str">
        <f aca="false">IF(A35="","",SUMIF($A$5:$A$304,A35,$D$5:$D$304))</f>
        <v/>
      </c>
    </row>
    <row r="36" customFormat="false" ht="15" hidden="false" customHeight="false" outlineLevel="0" collapsed="false">
      <c r="A36" s="8"/>
      <c r="B36" s="16"/>
      <c r="C36" s="16"/>
      <c r="D36" s="8"/>
      <c r="E36" s="16"/>
      <c r="F36" s="8"/>
      <c r="G36" s="8"/>
      <c r="H36" s="20" t="str">
        <f aca="false">IF(A36="","",SUMIF($A$5:$A$304,A36,$D$5:$D$304))</f>
        <v/>
      </c>
    </row>
    <row r="37" customFormat="false" ht="15" hidden="false" customHeight="false" outlineLevel="0" collapsed="false">
      <c r="A37" s="8"/>
      <c r="B37" s="16"/>
      <c r="C37" s="16"/>
      <c r="D37" s="8"/>
      <c r="E37" s="16"/>
      <c r="F37" s="8"/>
      <c r="G37" s="8"/>
      <c r="H37" s="20" t="str">
        <f aca="false">IF(A37="","",SUMIF($A$5:$A$304,A37,$D$5:$D$304))</f>
        <v/>
      </c>
    </row>
    <row r="38" customFormat="false" ht="15" hidden="false" customHeight="false" outlineLevel="0" collapsed="false">
      <c r="A38" s="8"/>
      <c r="B38" s="16"/>
      <c r="C38" s="16"/>
      <c r="D38" s="8"/>
      <c r="E38" s="16"/>
      <c r="F38" s="8"/>
      <c r="G38" s="8"/>
      <c r="H38" s="20" t="str">
        <f aca="false">IF(A38="","",SUMIF($A$5:$A$304,A38,$D$5:$D$304))</f>
        <v/>
      </c>
    </row>
    <row r="39" customFormat="false" ht="15" hidden="false" customHeight="false" outlineLevel="0" collapsed="false">
      <c r="A39" s="8"/>
      <c r="B39" s="16"/>
      <c r="C39" s="16"/>
      <c r="D39" s="8"/>
      <c r="E39" s="16"/>
      <c r="F39" s="8"/>
      <c r="G39" s="8"/>
      <c r="H39" s="20" t="str">
        <f aca="false">IF(A39="","",SUMIF($A$5:$A$304,A39,$D$5:$D$304))</f>
        <v/>
      </c>
    </row>
    <row r="40" customFormat="false" ht="15" hidden="false" customHeight="false" outlineLevel="0" collapsed="false">
      <c r="A40" s="8"/>
      <c r="B40" s="16"/>
      <c r="C40" s="16"/>
      <c r="D40" s="8"/>
      <c r="E40" s="16"/>
      <c r="F40" s="8"/>
      <c r="G40" s="8"/>
      <c r="H40" s="20" t="str">
        <f aca="false">IF(A40="","",SUMIF($A$5:$A$304,A40,$D$5:$D$304))</f>
        <v/>
      </c>
    </row>
    <row r="41" customFormat="false" ht="15" hidden="false" customHeight="false" outlineLevel="0" collapsed="false">
      <c r="A41" s="8"/>
      <c r="B41" s="16"/>
      <c r="C41" s="16"/>
      <c r="D41" s="8"/>
      <c r="E41" s="16"/>
      <c r="F41" s="8"/>
      <c r="G41" s="8"/>
      <c r="H41" s="20" t="str">
        <f aca="false">IF(A41="","",SUMIF($A$5:$A$304,A41,$D$5:$D$304))</f>
        <v/>
      </c>
    </row>
    <row r="42" customFormat="false" ht="15" hidden="false" customHeight="false" outlineLevel="0" collapsed="false">
      <c r="A42" s="8"/>
      <c r="B42" s="16"/>
      <c r="C42" s="16"/>
      <c r="D42" s="8"/>
      <c r="E42" s="16"/>
      <c r="F42" s="8"/>
      <c r="G42" s="8"/>
      <c r="H42" s="20" t="str">
        <f aca="false">IF(A42="","",SUMIF($A$5:$A$304,A42,$D$5:$D$304))</f>
        <v/>
      </c>
    </row>
    <row r="43" customFormat="false" ht="15" hidden="false" customHeight="false" outlineLevel="0" collapsed="false">
      <c r="A43" s="8"/>
      <c r="B43" s="16"/>
      <c r="C43" s="16"/>
      <c r="D43" s="8"/>
      <c r="E43" s="16"/>
      <c r="F43" s="8"/>
      <c r="G43" s="8"/>
      <c r="H43" s="20" t="str">
        <f aca="false">IF(A43="","",SUMIF($A$5:$A$304,A43,$D$5:$D$304))</f>
        <v/>
      </c>
    </row>
    <row r="44" customFormat="false" ht="15" hidden="false" customHeight="false" outlineLevel="0" collapsed="false">
      <c r="A44" s="8"/>
      <c r="B44" s="16"/>
      <c r="C44" s="16"/>
      <c r="D44" s="8"/>
      <c r="E44" s="16"/>
      <c r="F44" s="8"/>
      <c r="G44" s="8"/>
      <c r="H44" s="20" t="str">
        <f aca="false">IF(A44="","",SUMIF($A$5:$A$304,A44,$D$5:$D$304))</f>
        <v/>
      </c>
    </row>
    <row r="45" customFormat="false" ht="15" hidden="false" customHeight="false" outlineLevel="0" collapsed="false">
      <c r="A45" s="8"/>
      <c r="B45" s="16"/>
      <c r="C45" s="16"/>
      <c r="D45" s="8"/>
      <c r="E45" s="16"/>
      <c r="F45" s="8"/>
      <c r="G45" s="8"/>
      <c r="H45" s="20" t="str">
        <f aca="false">IF(A45="","",SUMIF($A$5:$A$304,A45,$D$5:$D$304))</f>
        <v/>
      </c>
    </row>
    <row r="46" customFormat="false" ht="15" hidden="false" customHeight="false" outlineLevel="0" collapsed="false">
      <c r="A46" s="8"/>
      <c r="B46" s="16"/>
      <c r="C46" s="16"/>
      <c r="D46" s="8"/>
      <c r="E46" s="16"/>
      <c r="F46" s="8"/>
      <c r="G46" s="8"/>
      <c r="H46" s="20" t="str">
        <f aca="false">IF(A46="","",SUMIF($A$5:$A$304,A46,$D$5:$D$304))</f>
        <v/>
      </c>
    </row>
    <row r="47" customFormat="false" ht="15" hidden="false" customHeight="false" outlineLevel="0" collapsed="false">
      <c r="A47" s="8"/>
      <c r="B47" s="16"/>
      <c r="C47" s="16"/>
      <c r="D47" s="8"/>
      <c r="E47" s="16"/>
      <c r="F47" s="8"/>
      <c r="G47" s="8"/>
      <c r="H47" s="20" t="str">
        <f aca="false">IF(A47="","",SUMIF($A$5:$A$304,A47,$D$5:$D$304))</f>
        <v/>
      </c>
    </row>
    <row r="48" customFormat="false" ht="15" hidden="false" customHeight="false" outlineLevel="0" collapsed="false">
      <c r="A48" s="8"/>
      <c r="B48" s="16"/>
      <c r="C48" s="16"/>
      <c r="D48" s="8"/>
      <c r="E48" s="16"/>
      <c r="F48" s="8"/>
      <c r="G48" s="8"/>
      <c r="H48" s="20" t="str">
        <f aca="false">IF(A48="","",SUMIF($A$5:$A$304,A48,$D$5:$D$304))</f>
        <v/>
      </c>
    </row>
    <row r="49" customFormat="false" ht="15" hidden="false" customHeight="false" outlineLevel="0" collapsed="false">
      <c r="A49" s="8"/>
      <c r="B49" s="16"/>
      <c r="C49" s="16"/>
      <c r="D49" s="8"/>
      <c r="E49" s="16"/>
      <c r="F49" s="8"/>
      <c r="G49" s="8"/>
      <c r="H49" s="20" t="str">
        <f aca="false">IF(A49="","",SUMIF($A$5:$A$304,A49,$D$5:$D$304))</f>
        <v/>
      </c>
    </row>
    <row r="50" customFormat="false" ht="15" hidden="false" customHeight="false" outlineLevel="0" collapsed="false">
      <c r="A50" s="8"/>
      <c r="B50" s="16"/>
      <c r="C50" s="16"/>
      <c r="D50" s="8"/>
      <c r="E50" s="16"/>
      <c r="F50" s="8"/>
      <c r="G50" s="8"/>
      <c r="H50" s="20" t="str">
        <f aca="false">IF(A50="","",SUMIF($A$5:$A$304,A50,$D$5:$D$304))</f>
        <v/>
      </c>
    </row>
    <row r="51" customFormat="false" ht="15" hidden="false" customHeight="false" outlineLevel="0" collapsed="false">
      <c r="A51" s="8"/>
      <c r="B51" s="16"/>
      <c r="C51" s="16"/>
      <c r="D51" s="8"/>
      <c r="E51" s="16"/>
      <c r="F51" s="8"/>
      <c r="G51" s="8"/>
      <c r="H51" s="20" t="str">
        <f aca="false">IF(A51="","",SUMIF($A$5:$A$304,A51,$D$5:$D$304))</f>
        <v/>
      </c>
    </row>
    <row r="52" customFormat="false" ht="15" hidden="false" customHeight="false" outlineLevel="0" collapsed="false">
      <c r="A52" s="8"/>
      <c r="B52" s="16"/>
      <c r="C52" s="16"/>
      <c r="D52" s="8"/>
      <c r="E52" s="16"/>
      <c r="F52" s="8"/>
      <c r="G52" s="8"/>
      <c r="H52" s="20" t="str">
        <f aca="false">IF(A52="","",SUMIF($A$5:$A$304,A52,$D$5:$D$304))</f>
        <v/>
      </c>
    </row>
    <row r="53" customFormat="false" ht="15" hidden="false" customHeight="false" outlineLevel="0" collapsed="false">
      <c r="A53" s="8"/>
      <c r="B53" s="16"/>
      <c r="C53" s="16"/>
      <c r="D53" s="8"/>
      <c r="E53" s="16"/>
      <c r="F53" s="8"/>
      <c r="G53" s="8"/>
      <c r="H53" s="20" t="str">
        <f aca="false">IF(A53="","",SUMIF($A$5:$A$304,A53,$D$5:$D$304))</f>
        <v/>
      </c>
    </row>
    <row r="54" customFormat="false" ht="15" hidden="false" customHeight="false" outlineLevel="0" collapsed="false">
      <c r="A54" s="8"/>
      <c r="B54" s="16"/>
      <c r="C54" s="16"/>
      <c r="D54" s="8"/>
      <c r="E54" s="16"/>
      <c r="F54" s="8"/>
      <c r="G54" s="8"/>
      <c r="H54" s="20" t="str">
        <f aca="false">IF(A54="","",SUMIF($A$5:$A$304,A54,$D$5:$D$304))</f>
        <v/>
      </c>
    </row>
    <row r="55" customFormat="false" ht="15" hidden="false" customHeight="false" outlineLevel="0" collapsed="false">
      <c r="A55" s="8"/>
      <c r="B55" s="16"/>
      <c r="C55" s="16"/>
      <c r="D55" s="8"/>
      <c r="E55" s="16"/>
      <c r="F55" s="8"/>
      <c r="G55" s="8"/>
      <c r="H55" s="20" t="str">
        <f aca="false">IF(A55="","",SUMIF($A$5:$A$304,A55,$D$5:$D$304))</f>
        <v/>
      </c>
    </row>
    <row r="56" customFormat="false" ht="15" hidden="false" customHeight="false" outlineLevel="0" collapsed="false">
      <c r="A56" s="8"/>
      <c r="B56" s="16"/>
      <c r="C56" s="16"/>
      <c r="D56" s="8"/>
      <c r="E56" s="16"/>
      <c r="F56" s="8"/>
      <c r="G56" s="8"/>
      <c r="H56" s="20" t="str">
        <f aca="false">IF(A56="","",SUMIF($A$5:$A$304,A56,$D$5:$D$304))</f>
        <v/>
      </c>
    </row>
    <row r="57" customFormat="false" ht="15" hidden="false" customHeight="false" outlineLevel="0" collapsed="false">
      <c r="A57" s="8"/>
      <c r="B57" s="16"/>
      <c r="C57" s="16"/>
      <c r="D57" s="8"/>
      <c r="E57" s="16"/>
      <c r="F57" s="8"/>
      <c r="G57" s="8"/>
      <c r="H57" s="20" t="str">
        <f aca="false">IF(A57="","",SUMIF($A$5:$A$304,A57,$D$5:$D$304))</f>
        <v/>
      </c>
    </row>
    <row r="58" customFormat="false" ht="15" hidden="false" customHeight="false" outlineLevel="0" collapsed="false">
      <c r="A58" s="8"/>
      <c r="B58" s="16"/>
      <c r="C58" s="16"/>
      <c r="D58" s="8"/>
      <c r="E58" s="16"/>
      <c r="F58" s="8"/>
      <c r="G58" s="8"/>
      <c r="H58" s="20" t="str">
        <f aca="false">IF(A58="","",SUMIF($A$5:$A$304,A58,$D$5:$D$304))</f>
        <v/>
      </c>
    </row>
    <row r="59" customFormat="false" ht="15" hidden="false" customHeight="false" outlineLevel="0" collapsed="false">
      <c r="A59" s="8"/>
      <c r="B59" s="16"/>
      <c r="C59" s="16"/>
      <c r="D59" s="8"/>
      <c r="E59" s="16"/>
      <c r="F59" s="8"/>
      <c r="G59" s="8"/>
      <c r="H59" s="20" t="str">
        <f aca="false">IF(A59="","",SUMIF($A$5:$A$304,A59,$D$5:$D$304))</f>
        <v/>
      </c>
    </row>
    <row r="60" customFormat="false" ht="15" hidden="false" customHeight="false" outlineLevel="0" collapsed="false">
      <c r="A60" s="8"/>
      <c r="B60" s="16"/>
      <c r="C60" s="16"/>
      <c r="D60" s="8"/>
      <c r="E60" s="16"/>
      <c r="F60" s="8"/>
      <c r="G60" s="8"/>
      <c r="H60" s="20" t="str">
        <f aca="false">IF(A60="","",SUMIF($A$5:$A$304,A60,$D$5:$D$304))</f>
        <v/>
      </c>
    </row>
    <row r="61" customFormat="false" ht="15" hidden="false" customHeight="false" outlineLevel="0" collapsed="false">
      <c r="A61" s="8"/>
      <c r="B61" s="16"/>
      <c r="C61" s="16"/>
      <c r="D61" s="8"/>
      <c r="E61" s="16"/>
      <c r="F61" s="8"/>
      <c r="G61" s="8"/>
      <c r="H61" s="20" t="str">
        <f aca="false">IF(A61="","",SUMIF($A$5:$A$304,A61,$D$5:$D$304))</f>
        <v/>
      </c>
    </row>
    <row r="62" customFormat="false" ht="15" hidden="false" customHeight="false" outlineLevel="0" collapsed="false">
      <c r="A62" s="8"/>
      <c r="B62" s="16"/>
      <c r="C62" s="16"/>
      <c r="D62" s="8"/>
      <c r="E62" s="16"/>
      <c r="F62" s="8"/>
      <c r="G62" s="8"/>
      <c r="H62" s="20" t="str">
        <f aca="false">IF(A62="","",SUMIF($A$5:$A$304,A62,$D$5:$D$304))</f>
        <v/>
      </c>
    </row>
    <row r="63" customFormat="false" ht="15" hidden="false" customHeight="false" outlineLevel="0" collapsed="false">
      <c r="A63" s="8"/>
      <c r="B63" s="16"/>
      <c r="C63" s="16"/>
      <c r="D63" s="8"/>
      <c r="E63" s="16"/>
      <c r="F63" s="8"/>
      <c r="G63" s="8"/>
      <c r="H63" s="20" t="str">
        <f aca="false">IF(A63="","",SUMIF($A$5:$A$304,A63,$D$5:$D$304))</f>
        <v/>
      </c>
    </row>
    <row r="64" customFormat="false" ht="15" hidden="false" customHeight="false" outlineLevel="0" collapsed="false">
      <c r="A64" s="8"/>
      <c r="B64" s="16"/>
      <c r="C64" s="16"/>
      <c r="D64" s="8"/>
      <c r="E64" s="16"/>
      <c r="F64" s="8"/>
      <c r="G64" s="8"/>
      <c r="H64" s="20" t="str">
        <f aca="false">IF(A64="","",SUMIF($A$5:$A$304,A64,$D$5:$D$304))</f>
        <v/>
      </c>
    </row>
    <row r="65" customFormat="false" ht="15" hidden="false" customHeight="false" outlineLevel="0" collapsed="false">
      <c r="A65" s="8"/>
      <c r="B65" s="16"/>
      <c r="C65" s="16"/>
      <c r="D65" s="8"/>
      <c r="E65" s="16"/>
      <c r="F65" s="8"/>
      <c r="G65" s="8"/>
      <c r="H65" s="20" t="str">
        <f aca="false">IF(A65="","",SUMIF($A$5:$A$304,A65,$D$5:$D$304))</f>
        <v/>
      </c>
    </row>
    <row r="66" customFormat="false" ht="15" hidden="false" customHeight="false" outlineLevel="0" collapsed="false">
      <c r="A66" s="8"/>
      <c r="B66" s="16"/>
      <c r="C66" s="16"/>
      <c r="D66" s="8"/>
      <c r="E66" s="16"/>
      <c r="F66" s="8"/>
      <c r="G66" s="8"/>
      <c r="H66" s="20" t="str">
        <f aca="false">IF(A66="","",SUMIF($A$5:$A$304,A66,$D$5:$D$304))</f>
        <v/>
      </c>
    </row>
    <row r="67" customFormat="false" ht="15" hidden="false" customHeight="false" outlineLevel="0" collapsed="false">
      <c r="A67" s="8"/>
      <c r="B67" s="16"/>
      <c r="C67" s="16"/>
      <c r="D67" s="8"/>
      <c r="E67" s="16"/>
      <c r="F67" s="8"/>
      <c r="G67" s="8"/>
      <c r="H67" s="20" t="str">
        <f aca="false">IF(A67="","",SUMIF($A$5:$A$304,A67,$D$5:$D$304))</f>
        <v/>
      </c>
    </row>
    <row r="68" customFormat="false" ht="15" hidden="false" customHeight="false" outlineLevel="0" collapsed="false">
      <c r="A68" s="8"/>
      <c r="B68" s="16"/>
      <c r="C68" s="16"/>
      <c r="D68" s="8"/>
      <c r="E68" s="16"/>
      <c r="F68" s="8"/>
      <c r="G68" s="8"/>
      <c r="H68" s="20" t="str">
        <f aca="false">IF(A68="","",SUMIF($A$5:$A$304,A68,$D$5:$D$304))</f>
        <v/>
      </c>
    </row>
    <row r="69" customFormat="false" ht="15" hidden="false" customHeight="false" outlineLevel="0" collapsed="false">
      <c r="A69" s="8"/>
      <c r="B69" s="16"/>
      <c r="C69" s="16"/>
      <c r="D69" s="8"/>
      <c r="E69" s="16"/>
      <c r="F69" s="8"/>
      <c r="G69" s="8"/>
      <c r="H69" s="20" t="str">
        <f aca="false">IF(A69="","",SUMIF($A$5:$A$304,A69,$D$5:$D$304))</f>
        <v/>
      </c>
    </row>
    <row r="70" customFormat="false" ht="15" hidden="false" customHeight="false" outlineLevel="0" collapsed="false">
      <c r="A70" s="8"/>
      <c r="B70" s="16"/>
      <c r="C70" s="16"/>
      <c r="D70" s="8"/>
      <c r="E70" s="16"/>
      <c r="F70" s="8"/>
      <c r="G70" s="8"/>
      <c r="H70" s="20" t="str">
        <f aca="false">IF(A70="","",SUMIF($A$5:$A$304,A70,$D$5:$D$304))</f>
        <v/>
      </c>
    </row>
    <row r="71" customFormat="false" ht="15" hidden="false" customHeight="false" outlineLevel="0" collapsed="false">
      <c r="A71" s="8"/>
      <c r="B71" s="16"/>
      <c r="C71" s="16"/>
      <c r="D71" s="8"/>
      <c r="E71" s="16"/>
      <c r="F71" s="8"/>
      <c r="G71" s="8"/>
      <c r="H71" s="20" t="str">
        <f aca="false">IF(A71="","",SUMIF($A$5:$A$304,A71,$D$5:$D$304))</f>
        <v/>
      </c>
    </row>
    <row r="72" customFormat="false" ht="15" hidden="false" customHeight="false" outlineLevel="0" collapsed="false">
      <c r="A72" s="8"/>
      <c r="B72" s="16"/>
      <c r="C72" s="16"/>
      <c r="D72" s="8"/>
      <c r="E72" s="16"/>
      <c r="F72" s="8"/>
      <c r="G72" s="8"/>
      <c r="H72" s="20" t="str">
        <f aca="false">IF(A72="","",SUMIF($A$5:$A$304,A72,$D$5:$D$304))</f>
        <v/>
      </c>
    </row>
    <row r="73" customFormat="false" ht="15" hidden="false" customHeight="false" outlineLevel="0" collapsed="false">
      <c r="A73" s="8"/>
      <c r="B73" s="16"/>
      <c r="C73" s="16"/>
      <c r="D73" s="8"/>
      <c r="E73" s="16"/>
      <c r="F73" s="8"/>
      <c r="G73" s="8"/>
      <c r="H73" s="20" t="str">
        <f aca="false">IF(A73="","",SUMIF($A$5:$A$304,A73,$D$5:$D$304))</f>
        <v/>
      </c>
    </row>
    <row r="74" customFormat="false" ht="15" hidden="false" customHeight="false" outlineLevel="0" collapsed="false">
      <c r="A74" s="8"/>
      <c r="B74" s="16"/>
      <c r="C74" s="16"/>
      <c r="D74" s="8"/>
      <c r="E74" s="16"/>
      <c r="F74" s="8"/>
      <c r="G74" s="8"/>
      <c r="H74" s="20" t="str">
        <f aca="false">IF(A74="","",SUMIF($A$5:$A$304,A74,$D$5:$D$304))</f>
        <v/>
      </c>
    </row>
    <row r="75" customFormat="false" ht="15" hidden="false" customHeight="false" outlineLevel="0" collapsed="false">
      <c r="A75" s="8"/>
      <c r="B75" s="16"/>
      <c r="C75" s="16"/>
      <c r="D75" s="8"/>
      <c r="E75" s="16"/>
      <c r="F75" s="8"/>
      <c r="G75" s="8"/>
      <c r="H75" s="20" t="str">
        <f aca="false">IF(A75="","",SUMIF($A$5:$A$304,A75,$D$5:$D$304))</f>
        <v/>
      </c>
    </row>
    <row r="76" customFormat="false" ht="15" hidden="false" customHeight="false" outlineLevel="0" collapsed="false">
      <c r="A76" s="8"/>
      <c r="B76" s="16"/>
      <c r="C76" s="16"/>
      <c r="D76" s="8"/>
      <c r="E76" s="16"/>
      <c r="F76" s="8"/>
      <c r="G76" s="8"/>
      <c r="H76" s="20" t="str">
        <f aca="false">IF(A76="","",SUMIF($A$5:$A$304,A76,$D$5:$D$304))</f>
        <v/>
      </c>
    </row>
    <row r="77" customFormat="false" ht="15" hidden="false" customHeight="false" outlineLevel="0" collapsed="false">
      <c r="A77" s="8"/>
      <c r="B77" s="16"/>
      <c r="C77" s="16"/>
      <c r="D77" s="8"/>
      <c r="E77" s="16"/>
      <c r="F77" s="8"/>
      <c r="G77" s="8"/>
      <c r="H77" s="20" t="str">
        <f aca="false">IF(A77="","",SUMIF($A$5:$A$304,A77,$D$5:$D$304))</f>
        <v/>
      </c>
    </row>
    <row r="78" customFormat="false" ht="15" hidden="false" customHeight="false" outlineLevel="0" collapsed="false">
      <c r="A78" s="8"/>
      <c r="B78" s="16"/>
      <c r="C78" s="16"/>
      <c r="D78" s="8"/>
      <c r="E78" s="16"/>
      <c r="F78" s="8"/>
      <c r="G78" s="8"/>
      <c r="H78" s="20" t="str">
        <f aca="false">IF(A78="","",SUMIF($A$5:$A$304,A78,$D$5:$D$304))</f>
        <v/>
      </c>
    </row>
    <row r="79" customFormat="false" ht="15" hidden="false" customHeight="false" outlineLevel="0" collapsed="false">
      <c r="A79" s="8"/>
      <c r="B79" s="16"/>
      <c r="C79" s="16"/>
      <c r="D79" s="8"/>
      <c r="E79" s="16"/>
      <c r="F79" s="8"/>
      <c r="G79" s="8"/>
      <c r="H79" s="20" t="str">
        <f aca="false">IF(A79="","",SUMIF($A$5:$A$304,A79,$D$5:$D$304))</f>
        <v/>
      </c>
    </row>
    <row r="80" customFormat="false" ht="15" hidden="false" customHeight="false" outlineLevel="0" collapsed="false">
      <c r="A80" s="8"/>
      <c r="B80" s="16"/>
      <c r="C80" s="16"/>
      <c r="D80" s="8"/>
      <c r="E80" s="16"/>
      <c r="F80" s="8"/>
      <c r="G80" s="8"/>
      <c r="H80" s="20" t="str">
        <f aca="false">IF(A80="","",SUMIF($A$5:$A$304,A80,$D$5:$D$304))</f>
        <v/>
      </c>
    </row>
    <row r="81" customFormat="false" ht="15" hidden="false" customHeight="false" outlineLevel="0" collapsed="false">
      <c r="A81" s="8"/>
      <c r="B81" s="16"/>
      <c r="C81" s="16"/>
      <c r="D81" s="8"/>
      <c r="E81" s="16"/>
      <c r="F81" s="8"/>
      <c r="G81" s="8"/>
      <c r="H81" s="20" t="str">
        <f aca="false">IF(A81="","",SUMIF($A$5:$A$304,A81,$D$5:$D$304))</f>
        <v/>
      </c>
    </row>
    <row r="82" customFormat="false" ht="15" hidden="false" customHeight="false" outlineLevel="0" collapsed="false">
      <c r="A82" s="8"/>
      <c r="B82" s="16"/>
      <c r="C82" s="16"/>
      <c r="D82" s="8"/>
      <c r="E82" s="16"/>
      <c r="F82" s="8"/>
      <c r="G82" s="8"/>
      <c r="H82" s="20" t="str">
        <f aca="false">IF(A82="","",SUMIF($A$5:$A$304,A82,$D$5:$D$304))</f>
        <v/>
      </c>
    </row>
    <row r="83" customFormat="false" ht="15" hidden="false" customHeight="false" outlineLevel="0" collapsed="false">
      <c r="A83" s="8"/>
      <c r="B83" s="16"/>
      <c r="C83" s="16"/>
      <c r="D83" s="8"/>
      <c r="E83" s="16"/>
      <c r="F83" s="8"/>
      <c r="G83" s="8"/>
      <c r="H83" s="20" t="str">
        <f aca="false">IF(A83="","",SUMIF($A$5:$A$304,A83,$D$5:$D$304))</f>
        <v/>
      </c>
    </row>
    <row r="84" customFormat="false" ht="15" hidden="false" customHeight="false" outlineLevel="0" collapsed="false">
      <c r="A84" s="8"/>
      <c r="B84" s="16"/>
      <c r="C84" s="16"/>
      <c r="D84" s="8"/>
      <c r="E84" s="16"/>
      <c r="F84" s="8"/>
      <c r="G84" s="8"/>
      <c r="H84" s="20" t="str">
        <f aca="false">IF(A84="","",SUMIF($A$5:$A$304,A84,$D$5:$D$304))</f>
        <v/>
      </c>
    </row>
    <row r="85" customFormat="false" ht="15" hidden="false" customHeight="false" outlineLevel="0" collapsed="false">
      <c r="A85" s="8"/>
      <c r="B85" s="16"/>
      <c r="C85" s="16"/>
      <c r="D85" s="8"/>
      <c r="E85" s="16"/>
      <c r="F85" s="8"/>
      <c r="G85" s="8"/>
      <c r="H85" s="20" t="str">
        <f aca="false">IF(A85="","",SUMIF($A$5:$A$304,A85,$D$5:$D$304))</f>
        <v/>
      </c>
    </row>
    <row r="86" customFormat="false" ht="15" hidden="false" customHeight="false" outlineLevel="0" collapsed="false">
      <c r="A86" s="8"/>
      <c r="B86" s="16"/>
      <c r="C86" s="16"/>
      <c r="D86" s="8"/>
      <c r="E86" s="16"/>
      <c r="F86" s="8"/>
      <c r="G86" s="8"/>
      <c r="H86" s="20" t="str">
        <f aca="false">IF(A86="","",SUMIF($A$5:$A$304,A86,$D$5:$D$304))</f>
        <v/>
      </c>
    </row>
    <row r="87" customFormat="false" ht="15" hidden="false" customHeight="false" outlineLevel="0" collapsed="false">
      <c r="A87" s="8"/>
      <c r="B87" s="16"/>
      <c r="C87" s="16"/>
      <c r="D87" s="8"/>
      <c r="E87" s="16"/>
      <c r="F87" s="8"/>
      <c r="G87" s="8"/>
      <c r="H87" s="20" t="str">
        <f aca="false">IF(A87="","",SUMIF($A$5:$A$304,A87,$D$5:$D$304))</f>
        <v/>
      </c>
    </row>
    <row r="88" customFormat="false" ht="15" hidden="false" customHeight="false" outlineLevel="0" collapsed="false">
      <c r="A88" s="8"/>
      <c r="B88" s="16"/>
      <c r="C88" s="16"/>
      <c r="D88" s="8"/>
      <c r="E88" s="16"/>
      <c r="F88" s="8"/>
      <c r="G88" s="8"/>
      <c r="H88" s="20" t="str">
        <f aca="false">IF(A88="","",SUMIF($A$5:$A$304,A88,$D$5:$D$304))</f>
        <v/>
      </c>
    </row>
    <row r="89" customFormat="false" ht="15" hidden="false" customHeight="false" outlineLevel="0" collapsed="false">
      <c r="A89" s="8"/>
      <c r="B89" s="16"/>
      <c r="C89" s="16"/>
      <c r="D89" s="8"/>
      <c r="E89" s="16"/>
      <c r="F89" s="8"/>
      <c r="G89" s="8"/>
      <c r="H89" s="20" t="str">
        <f aca="false">IF(A89="","",SUMIF($A$5:$A$304,A89,$D$5:$D$304))</f>
        <v/>
      </c>
    </row>
    <row r="90" customFormat="false" ht="15" hidden="false" customHeight="false" outlineLevel="0" collapsed="false">
      <c r="A90" s="8"/>
      <c r="B90" s="16"/>
      <c r="C90" s="16"/>
      <c r="D90" s="8"/>
      <c r="E90" s="16"/>
      <c r="F90" s="8"/>
      <c r="G90" s="8"/>
      <c r="H90" s="20" t="str">
        <f aca="false">IF(A90="","",SUMIF($A$5:$A$304,A90,$D$5:$D$304))</f>
        <v/>
      </c>
    </row>
    <row r="91" customFormat="false" ht="15" hidden="false" customHeight="false" outlineLevel="0" collapsed="false">
      <c r="A91" s="8"/>
      <c r="B91" s="16"/>
      <c r="C91" s="16"/>
      <c r="D91" s="8"/>
      <c r="E91" s="16"/>
      <c r="F91" s="8"/>
      <c r="G91" s="8"/>
      <c r="H91" s="20" t="str">
        <f aca="false">IF(A91="","",SUMIF($A$5:$A$304,A91,$D$5:$D$304))</f>
        <v/>
      </c>
    </row>
    <row r="92" customFormat="false" ht="15" hidden="false" customHeight="false" outlineLevel="0" collapsed="false">
      <c r="A92" s="8"/>
      <c r="B92" s="16"/>
      <c r="C92" s="16"/>
      <c r="D92" s="8"/>
      <c r="E92" s="16"/>
      <c r="F92" s="8"/>
      <c r="G92" s="8"/>
      <c r="H92" s="20" t="str">
        <f aca="false">IF(A92="","",SUMIF($A$5:$A$304,A92,$D$5:$D$304))</f>
        <v/>
      </c>
    </row>
    <row r="93" customFormat="false" ht="15" hidden="false" customHeight="false" outlineLevel="0" collapsed="false">
      <c r="A93" s="8"/>
      <c r="B93" s="16"/>
      <c r="C93" s="16"/>
      <c r="D93" s="8"/>
      <c r="E93" s="16"/>
      <c r="F93" s="8"/>
      <c r="G93" s="8"/>
      <c r="H93" s="20" t="str">
        <f aca="false">IF(A93="","",SUMIF($A$5:$A$304,A93,$D$5:$D$304))</f>
        <v/>
      </c>
    </row>
    <row r="94" customFormat="false" ht="15" hidden="false" customHeight="false" outlineLevel="0" collapsed="false">
      <c r="A94" s="8"/>
      <c r="B94" s="16"/>
      <c r="C94" s="16"/>
      <c r="D94" s="8"/>
      <c r="E94" s="16"/>
      <c r="F94" s="8"/>
      <c r="G94" s="8"/>
      <c r="H94" s="20" t="str">
        <f aca="false">IF(A94="","",SUMIF($A$5:$A$304,A94,$D$5:$D$304))</f>
        <v/>
      </c>
    </row>
    <row r="95" customFormat="false" ht="15" hidden="false" customHeight="false" outlineLevel="0" collapsed="false">
      <c r="A95" s="8"/>
      <c r="B95" s="16"/>
      <c r="C95" s="16"/>
      <c r="D95" s="8"/>
      <c r="E95" s="16"/>
      <c r="F95" s="8"/>
      <c r="G95" s="8"/>
      <c r="H95" s="20" t="str">
        <f aca="false">IF(A95="","",SUMIF($A$5:$A$304,A95,$D$5:$D$304))</f>
        <v/>
      </c>
    </row>
    <row r="96" customFormat="false" ht="15" hidden="false" customHeight="false" outlineLevel="0" collapsed="false">
      <c r="A96" s="8"/>
      <c r="B96" s="16"/>
      <c r="C96" s="16"/>
      <c r="D96" s="8"/>
      <c r="E96" s="16"/>
      <c r="F96" s="8"/>
      <c r="G96" s="8"/>
      <c r="H96" s="20" t="str">
        <f aca="false">IF(A96="","",SUMIF($A$5:$A$304,A96,$D$5:$D$304))</f>
        <v/>
      </c>
    </row>
    <row r="97" customFormat="false" ht="15" hidden="false" customHeight="false" outlineLevel="0" collapsed="false">
      <c r="A97" s="8"/>
      <c r="B97" s="16"/>
      <c r="C97" s="16"/>
      <c r="D97" s="8"/>
      <c r="E97" s="16"/>
      <c r="F97" s="8"/>
      <c r="G97" s="8"/>
      <c r="H97" s="20" t="str">
        <f aca="false">IF(A97="","",SUMIF($A$5:$A$304,A97,$D$5:$D$304))</f>
        <v/>
      </c>
    </row>
    <row r="98" customFormat="false" ht="15" hidden="false" customHeight="false" outlineLevel="0" collapsed="false">
      <c r="A98" s="8"/>
      <c r="B98" s="16"/>
      <c r="C98" s="16"/>
      <c r="D98" s="8"/>
      <c r="E98" s="16"/>
      <c r="F98" s="8"/>
      <c r="G98" s="8"/>
      <c r="H98" s="20" t="str">
        <f aca="false">IF(A98="","",SUMIF($A$5:$A$304,A98,$D$5:$D$304))</f>
        <v/>
      </c>
    </row>
    <row r="99" customFormat="false" ht="15" hidden="false" customHeight="false" outlineLevel="0" collapsed="false">
      <c r="A99" s="8"/>
      <c r="B99" s="16"/>
      <c r="C99" s="16"/>
      <c r="D99" s="8"/>
      <c r="E99" s="16"/>
      <c r="F99" s="8"/>
      <c r="G99" s="8"/>
      <c r="H99" s="20" t="str">
        <f aca="false">IF(A99="","",SUMIF($A$5:$A$304,A99,$D$5:$D$304))</f>
        <v/>
      </c>
    </row>
    <row r="100" customFormat="false" ht="15" hidden="false" customHeight="false" outlineLevel="0" collapsed="false">
      <c r="A100" s="8"/>
      <c r="B100" s="16"/>
      <c r="C100" s="16"/>
      <c r="D100" s="8"/>
      <c r="E100" s="16"/>
      <c r="F100" s="8"/>
      <c r="G100" s="8"/>
      <c r="H100" s="20" t="str">
        <f aca="false">IF(A100="","",SUMIF($A$5:$A$304,A100,$D$5:$D$304))</f>
        <v/>
      </c>
    </row>
    <row r="101" customFormat="false" ht="15" hidden="false" customHeight="false" outlineLevel="0" collapsed="false">
      <c r="A101" s="8"/>
      <c r="B101" s="16"/>
      <c r="C101" s="16"/>
      <c r="D101" s="8"/>
      <c r="E101" s="16"/>
      <c r="F101" s="8"/>
      <c r="G101" s="8"/>
      <c r="H101" s="20" t="str">
        <f aca="false">IF(A101="","",SUMIF($A$5:$A$304,A101,$D$5:$D$304))</f>
        <v/>
      </c>
    </row>
    <row r="102" customFormat="false" ht="15" hidden="false" customHeight="false" outlineLevel="0" collapsed="false">
      <c r="A102" s="8"/>
      <c r="B102" s="16"/>
      <c r="C102" s="16"/>
      <c r="D102" s="8"/>
      <c r="E102" s="16"/>
      <c r="F102" s="8"/>
      <c r="G102" s="8"/>
      <c r="H102" s="20" t="str">
        <f aca="false">IF(A102="","",SUMIF($A$5:$A$304,A102,$D$5:$D$304))</f>
        <v/>
      </c>
    </row>
    <row r="103" customFormat="false" ht="15" hidden="false" customHeight="false" outlineLevel="0" collapsed="false">
      <c r="A103" s="8"/>
      <c r="B103" s="16"/>
      <c r="C103" s="16"/>
      <c r="D103" s="8"/>
      <c r="E103" s="16"/>
      <c r="F103" s="8"/>
      <c r="G103" s="8"/>
      <c r="H103" s="20" t="str">
        <f aca="false">IF(A103="","",SUMIF($A$5:$A$304,A103,$D$5:$D$304))</f>
        <v/>
      </c>
    </row>
    <row r="104" customFormat="false" ht="15" hidden="false" customHeight="false" outlineLevel="0" collapsed="false">
      <c r="A104" s="8"/>
      <c r="B104" s="16"/>
      <c r="C104" s="16"/>
      <c r="D104" s="8"/>
      <c r="E104" s="16"/>
      <c r="F104" s="8"/>
      <c r="G104" s="8"/>
      <c r="H104" s="20" t="str">
        <f aca="false">IF(A104="","",SUMIF($A$5:$A$304,A104,$D$5:$D$304))</f>
        <v/>
      </c>
    </row>
    <row r="105" customFormat="false" ht="15" hidden="false" customHeight="false" outlineLevel="0" collapsed="false">
      <c r="A105" s="8"/>
      <c r="B105" s="16"/>
      <c r="C105" s="16"/>
      <c r="D105" s="8"/>
      <c r="E105" s="16"/>
      <c r="F105" s="8"/>
      <c r="G105" s="8"/>
      <c r="H105" s="20" t="str">
        <f aca="false">IF(A105="","",SUMIF($A$5:$A$304,A105,$D$5:$D$304))</f>
        <v/>
      </c>
    </row>
    <row r="106" customFormat="false" ht="15" hidden="false" customHeight="false" outlineLevel="0" collapsed="false">
      <c r="A106" s="8"/>
      <c r="B106" s="16"/>
      <c r="C106" s="16"/>
      <c r="D106" s="8"/>
      <c r="E106" s="16"/>
      <c r="F106" s="8"/>
      <c r="G106" s="8"/>
      <c r="H106" s="20" t="str">
        <f aca="false">IF(A106="","",SUMIF($A$5:$A$304,A106,$D$5:$D$304))</f>
        <v/>
      </c>
    </row>
    <row r="107" customFormat="false" ht="15" hidden="false" customHeight="false" outlineLevel="0" collapsed="false">
      <c r="A107" s="8"/>
      <c r="B107" s="16"/>
      <c r="C107" s="16"/>
      <c r="D107" s="8"/>
      <c r="E107" s="16"/>
      <c r="F107" s="8"/>
      <c r="G107" s="8"/>
      <c r="H107" s="20" t="str">
        <f aca="false">IF(A107="","",SUMIF($A$5:$A$304,A107,$D$5:$D$304))</f>
        <v/>
      </c>
    </row>
    <row r="108" customFormat="false" ht="15" hidden="false" customHeight="false" outlineLevel="0" collapsed="false">
      <c r="A108" s="8"/>
      <c r="B108" s="16"/>
      <c r="C108" s="16"/>
      <c r="D108" s="8"/>
      <c r="E108" s="16"/>
      <c r="F108" s="8"/>
      <c r="G108" s="8"/>
      <c r="H108" s="20" t="str">
        <f aca="false">IF(A108="","",SUMIF($A$5:$A$304,A108,$D$5:$D$304))</f>
        <v/>
      </c>
    </row>
    <row r="109" customFormat="false" ht="15" hidden="false" customHeight="false" outlineLevel="0" collapsed="false">
      <c r="A109" s="8"/>
      <c r="B109" s="16"/>
      <c r="C109" s="16"/>
      <c r="D109" s="8"/>
      <c r="E109" s="16"/>
      <c r="F109" s="8"/>
      <c r="G109" s="8"/>
      <c r="H109" s="20" t="str">
        <f aca="false">IF(A109="","",SUMIF($A$5:$A$304,A109,$D$5:$D$304))</f>
        <v/>
      </c>
    </row>
    <row r="110" customFormat="false" ht="15" hidden="false" customHeight="false" outlineLevel="0" collapsed="false">
      <c r="A110" s="8"/>
      <c r="B110" s="16"/>
      <c r="C110" s="16"/>
      <c r="D110" s="8"/>
      <c r="E110" s="16"/>
      <c r="F110" s="8"/>
      <c r="G110" s="8"/>
      <c r="H110" s="20" t="str">
        <f aca="false">IF(A110="","",SUMIF($A$5:$A$304,A110,$D$5:$D$304))</f>
        <v/>
      </c>
    </row>
    <row r="111" customFormat="false" ht="15" hidden="false" customHeight="false" outlineLevel="0" collapsed="false">
      <c r="A111" s="8"/>
      <c r="B111" s="16"/>
      <c r="C111" s="16"/>
      <c r="D111" s="8"/>
      <c r="E111" s="16"/>
      <c r="F111" s="8"/>
      <c r="G111" s="8"/>
      <c r="H111" s="20" t="str">
        <f aca="false">IF(A111="","",SUMIF($A$5:$A$304,A111,$D$5:$D$304))</f>
        <v/>
      </c>
    </row>
    <row r="112" customFormat="false" ht="15" hidden="false" customHeight="false" outlineLevel="0" collapsed="false">
      <c r="A112" s="8"/>
      <c r="B112" s="16"/>
      <c r="C112" s="16"/>
      <c r="D112" s="8"/>
      <c r="E112" s="16"/>
      <c r="F112" s="8"/>
      <c r="G112" s="8"/>
      <c r="H112" s="20" t="str">
        <f aca="false">IF(A112="","",SUMIF($A$5:$A$304,A112,$D$5:$D$304))</f>
        <v/>
      </c>
    </row>
    <row r="113" customFormat="false" ht="15" hidden="false" customHeight="false" outlineLevel="0" collapsed="false">
      <c r="A113" s="8"/>
      <c r="B113" s="16"/>
      <c r="C113" s="16"/>
      <c r="D113" s="8"/>
      <c r="E113" s="16"/>
      <c r="F113" s="8"/>
      <c r="G113" s="8"/>
      <c r="H113" s="20" t="str">
        <f aca="false">IF(A113="","",SUMIF($A$5:$A$304,A113,$D$5:$D$304))</f>
        <v/>
      </c>
    </row>
    <row r="114" customFormat="false" ht="15" hidden="false" customHeight="false" outlineLevel="0" collapsed="false">
      <c r="A114" s="8"/>
      <c r="B114" s="16"/>
      <c r="C114" s="16"/>
      <c r="D114" s="8"/>
      <c r="E114" s="16"/>
      <c r="F114" s="8"/>
      <c r="G114" s="8"/>
      <c r="H114" s="20" t="str">
        <f aca="false">IF(A114="","",SUMIF($A$5:$A$304,A114,$D$5:$D$304))</f>
        <v/>
      </c>
    </row>
    <row r="115" customFormat="false" ht="15" hidden="false" customHeight="false" outlineLevel="0" collapsed="false">
      <c r="A115" s="8"/>
      <c r="B115" s="16"/>
      <c r="C115" s="16"/>
      <c r="D115" s="8"/>
      <c r="E115" s="16"/>
      <c r="F115" s="8"/>
      <c r="G115" s="8"/>
      <c r="H115" s="20" t="str">
        <f aca="false">IF(A115="","",SUMIF($A$5:$A$304,A115,$D$5:$D$304))</f>
        <v/>
      </c>
    </row>
    <row r="116" customFormat="false" ht="15" hidden="false" customHeight="false" outlineLevel="0" collapsed="false">
      <c r="A116" s="8"/>
      <c r="B116" s="16"/>
      <c r="C116" s="16"/>
      <c r="D116" s="8"/>
      <c r="E116" s="16"/>
      <c r="F116" s="8"/>
      <c r="G116" s="8"/>
      <c r="H116" s="20" t="str">
        <f aca="false">IF(A116="","",SUMIF($A$5:$A$304,A116,$D$5:$D$304))</f>
        <v/>
      </c>
    </row>
    <row r="117" customFormat="false" ht="15" hidden="false" customHeight="false" outlineLevel="0" collapsed="false">
      <c r="A117" s="8"/>
      <c r="B117" s="16"/>
      <c r="C117" s="16"/>
      <c r="D117" s="8"/>
      <c r="E117" s="16"/>
      <c r="F117" s="8"/>
      <c r="G117" s="8"/>
      <c r="H117" s="20" t="str">
        <f aca="false">IF(A117="","",SUMIF($A$5:$A$304,A117,$D$5:$D$304))</f>
        <v/>
      </c>
    </row>
    <row r="118" customFormat="false" ht="15" hidden="false" customHeight="false" outlineLevel="0" collapsed="false">
      <c r="A118" s="8"/>
      <c r="B118" s="16"/>
      <c r="C118" s="16"/>
      <c r="D118" s="8"/>
      <c r="E118" s="16"/>
      <c r="F118" s="8"/>
      <c r="G118" s="8"/>
      <c r="H118" s="20" t="str">
        <f aca="false">IF(A118="","",SUMIF($A$5:$A$304,A118,$D$5:$D$304))</f>
        <v/>
      </c>
    </row>
    <row r="119" customFormat="false" ht="15" hidden="false" customHeight="false" outlineLevel="0" collapsed="false">
      <c r="A119" s="8"/>
      <c r="B119" s="16"/>
      <c r="C119" s="16"/>
      <c r="D119" s="8"/>
      <c r="E119" s="16"/>
      <c r="F119" s="8"/>
      <c r="G119" s="8"/>
      <c r="H119" s="20" t="str">
        <f aca="false">IF(A119="","",SUMIF($A$5:$A$304,A119,$D$5:$D$304))</f>
        <v/>
      </c>
    </row>
    <row r="120" customFormat="false" ht="15" hidden="false" customHeight="false" outlineLevel="0" collapsed="false">
      <c r="A120" s="8"/>
      <c r="B120" s="16"/>
      <c r="C120" s="16"/>
      <c r="D120" s="8"/>
      <c r="E120" s="16"/>
      <c r="F120" s="8"/>
      <c r="G120" s="8"/>
      <c r="H120" s="20" t="str">
        <f aca="false">IF(A120="","",SUMIF($A$5:$A$304,A120,$D$5:$D$304))</f>
        <v/>
      </c>
    </row>
    <row r="121" customFormat="false" ht="15" hidden="false" customHeight="false" outlineLevel="0" collapsed="false">
      <c r="A121" s="8"/>
      <c r="B121" s="16"/>
      <c r="C121" s="16"/>
      <c r="D121" s="8"/>
      <c r="E121" s="16"/>
      <c r="F121" s="8"/>
      <c r="G121" s="8"/>
      <c r="H121" s="20" t="str">
        <f aca="false">IF(A121="","",SUMIF($A$5:$A$304,A121,$D$5:$D$304))</f>
        <v/>
      </c>
    </row>
    <row r="122" customFormat="false" ht="15" hidden="false" customHeight="false" outlineLevel="0" collapsed="false">
      <c r="A122" s="8"/>
      <c r="B122" s="16"/>
      <c r="C122" s="16"/>
      <c r="D122" s="8"/>
      <c r="E122" s="16"/>
      <c r="F122" s="8"/>
      <c r="G122" s="8"/>
      <c r="H122" s="20" t="str">
        <f aca="false">IF(A122="","",SUMIF($A$5:$A$304,A122,$D$5:$D$304))</f>
        <v/>
      </c>
    </row>
    <row r="123" customFormat="false" ht="15" hidden="false" customHeight="false" outlineLevel="0" collapsed="false">
      <c r="A123" s="8"/>
      <c r="B123" s="16"/>
      <c r="C123" s="16"/>
      <c r="D123" s="8"/>
      <c r="E123" s="16"/>
      <c r="F123" s="8"/>
      <c r="G123" s="8"/>
      <c r="H123" s="20" t="str">
        <f aca="false">IF(A123="","",SUMIF($A$5:$A$304,A123,$D$5:$D$304))</f>
        <v/>
      </c>
    </row>
    <row r="124" customFormat="false" ht="15" hidden="false" customHeight="false" outlineLevel="0" collapsed="false">
      <c r="A124" s="8"/>
      <c r="B124" s="16"/>
      <c r="C124" s="16"/>
      <c r="D124" s="8"/>
      <c r="E124" s="16"/>
      <c r="F124" s="8"/>
      <c r="G124" s="8"/>
      <c r="H124" s="20" t="str">
        <f aca="false">IF(A124="","",SUMIF($A$5:$A$304,A124,$D$5:$D$304))</f>
        <v/>
      </c>
    </row>
    <row r="125" customFormat="false" ht="15" hidden="false" customHeight="false" outlineLevel="0" collapsed="false">
      <c r="A125" s="8"/>
      <c r="B125" s="16"/>
      <c r="C125" s="16"/>
      <c r="D125" s="8"/>
      <c r="E125" s="16"/>
      <c r="F125" s="8"/>
      <c r="G125" s="8"/>
      <c r="H125" s="20" t="str">
        <f aca="false">IF(A125="","",SUMIF($A$5:$A$304,A125,$D$5:$D$304))</f>
        <v/>
      </c>
    </row>
    <row r="126" customFormat="false" ht="15" hidden="false" customHeight="false" outlineLevel="0" collapsed="false">
      <c r="A126" s="8"/>
      <c r="B126" s="16"/>
      <c r="C126" s="16"/>
      <c r="D126" s="8"/>
      <c r="E126" s="16"/>
      <c r="F126" s="8"/>
      <c r="G126" s="8"/>
      <c r="H126" s="20" t="str">
        <f aca="false">IF(A126="","",SUMIF($A$5:$A$304,A126,$D$5:$D$304))</f>
        <v/>
      </c>
    </row>
    <row r="127" customFormat="false" ht="15" hidden="false" customHeight="false" outlineLevel="0" collapsed="false">
      <c r="A127" s="8"/>
      <c r="B127" s="16"/>
      <c r="C127" s="16"/>
      <c r="D127" s="8"/>
      <c r="E127" s="16"/>
      <c r="F127" s="8"/>
      <c r="G127" s="8"/>
      <c r="H127" s="20" t="str">
        <f aca="false">IF(A127="","",SUMIF($A$5:$A$304,A127,$D$5:$D$304))</f>
        <v/>
      </c>
    </row>
    <row r="128" customFormat="false" ht="15" hidden="false" customHeight="false" outlineLevel="0" collapsed="false">
      <c r="A128" s="8"/>
      <c r="B128" s="16"/>
      <c r="C128" s="16"/>
      <c r="D128" s="8"/>
      <c r="E128" s="16"/>
      <c r="F128" s="8"/>
      <c r="G128" s="8"/>
      <c r="H128" s="20" t="str">
        <f aca="false">IF(A128="","",SUMIF($A$5:$A$304,A128,$D$5:$D$304))</f>
        <v/>
      </c>
    </row>
    <row r="129" customFormat="false" ht="15" hidden="false" customHeight="false" outlineLevel="0" collapsed="false">
      <c r="A129" s="8"/>
      <c r="B129" s="16"/>
      <c r="C129" s="16"/>
      <c r="D129" s="8"/>
      <c r="E129" s="16"/>
      <c r="F129" s="8"/>
      <c r="G129" s="8"/>
      <c r="H129" s="20" t="str">
        <f aca="false">IF(A129="","",SUMIF($A$5:$A$304,A129,$D$5:$D$304))</f>
        <v/>
      </c>
    </row>
    <row r="130" customFormat="false" ht="15" hidden="false" customHeight="false" outlineLevel="0" collapsed="false">
      <c r="A130" s="8"/>
      <c r="B130" s="16"/>
      <c r="C130" s="16"/>
      <c r="D130" s="8"/>
      <c r="E130" s="16"/>
      <c r="F130" s="8"/>
      <c r="G130" s="8"/>
      <c r="H130" s="20" t="str">
        <f aca="false">IF(A130="","",SUMIF($A$5:$A$304,A130,$D$5:$D$304))</f>
        <v/>
      </c>
    </row>
    <row r="131" customFormat="false" ht="15" hidden="false" customHeight="false" outlineLevel="0" collapsed="false">
      <c r="A131" s="8"/>
      <c r="B131" s="16"/>
      <c r="C131" s="16"/>
      <c r="D131" s="8"/>
      <c r="E131" s="16"/>
      <c r="F131" s="8"/>
      <c r="G131" s="8"/>
      <c r="H131" s="20" t="str">
        <f aca="false">IF(A131="","",SUMIF($A$5:$A$304,A131,$D$5:$D$304))</f>
        <v/>
      </c>
    </row>
    <row r="132" customFormat="false" ht="15" hidden="false" customHeight="false" outlineLevel="0" collapsed="false">
      <c r="A132" s="8"/>
      <c r="B132" s="16"/>
      <c r="C132" s="16"/>
      <c r="D132" s="8"/>
      <c r="E132" s="16"/>
      <c r="F132" s="8"/>
      <c r="G132" s="8"/>
      <c r="H132" s="20" t="str">
        <f aca="false">IF(A132="","",SUMIF($A$5:$A$304,A132,$D$5:$D$304))</f>
        <v/>
      </c>
    </row>
    <row r="133" customFormat="false" ht="15" hidden="false" customHeight="false" outlineLevel="0" collapsed="false">
      <c r="A133" s="8"/>
      <c r="B133" s="16"/>
      <c r="C133" s="16"/>
      <c r="D133" s="8"/>
      <c r="E133" s="16"/>
      <c r="F133" s="8"/>
      <c r="G133" s="8"/>
      <c r="H133" s="20" t="str">
        <f aca="false">IF(A133="","",SUMIF($A$5:$A$304,A133,$D$5:$D$304))</f>
        <v/>
      </c>
    </row>
    <row r="134" customFormat="false" ht="15" hidden="false" customHeight="false" outlineLevel="0" collapsed="false">
      <c r="A134" s="8"/>
      <c r="B134" s="16"/>
      <c r="C134" s="16"/>
      <c r="D134" s="8"/>
      <c r="E134" s="16"/>
      <c r="F134" s="8"/>
      <c r="G134" s="8"/>
      <c r="H134" s="20" t="str">
        <f aca="false">IF(A134="","",SUMIF($A$5:$A$304,A134,$D$5:$D$304))</f>
        <v/>
      </c>
    </row>
    <row r="135" customFormat="false" ht="15" hidden="false" customHeight="false" outlineLevel="0" collapsed="false">
      <c r="A135" s="8"/>
      <c r="B135" s="16"/>
      <c r="C135" s="16"/>
      <c r="D135" s="8"/>
      <c r="E135" s="16"/>
      <c r="F135" s="8"/>
      <c r="G135" s="8"/>
      <c r="H135" s="20" t="str">
        <f aca="false">IF(A135="","",SUMIF($A$5:$A$304,A135,$D$5:$D$304))</f>
        <v/>
      </c>
    </row>
    <row r="136" customFormat="false" ht="15" hidden="false" customHeight="false" outlineLevel="0" collapsed="false">
      <c r="A136" s="8"/>
      <c r="B136" s="16"/>
      <c r="C136" s="16"/>
      <c r="D136" s="8"/>
      <c r="E136" s="16"/>
      <c r="F136" s="8"/>
      <c r="G136" s="8"/>
      <c r="H136" s="20" t="str">
        <f aca="false">IF(A136="","",SUMIF($A$5:$A$304,A136,$D$5:$D$304))</f>
        <v/>
      </c>
    </row>
    <row r="137" customFormat="false" ht="15" hidden="false" customHeight="false" outlineLevel="0" collapsed="false">
      <c r="A137" s="8"/>
      <c r="B137" s="16"/>
      <c r="C137" s="16"/>
      <c r="D137" s="8"/>
      <c r="E137" s="16"/>
      <c r="F137" s="8"/>
      <c r="G137" s="8"/>
      <c r="H137" s="20" t="str">
        <f aca="false">IF(A137="","",SUMIF($A$5:$A$304,A137,$D$5:$D$304))</f>
        <v/>
      </c>
    </row>
    <row r="138" customFormat="false" ht="15" hidden="false" customHeight="false" outlineLevel="0" collapsed="false">
      <c r="A138" s="8"/>
      <c r="B138" s="16"/>
      <c r="C138" s="16"/>
      <c r="D138" s="8"/>
      <c r="E138" s="16"/>
      <c r="F138" s="8"/>
      <c r="G138" s="8"/>
      <c r="H138" s="20" t="str">
        <f aca="false">IF(A138="","",SUMIF($A$5:$A$304,A138,$D$5:$D$304))</f>
        <v/>
      </c>
    </row>
    <row r="139" customFormat="false" ht="15" hidden="false" customHeight="false" outlineLevel="0" collapsed="false">
      <c r="A139" s="8"/>
      <c r="B139" s="16"/>
      <c r="C139" s="16"/>
      <c r="D139" s="8"/>
      <c r="E139" s="16"/>
      <c r="F139" s="8"/>
      <c r="G139" s="8"/>
      <c r="H139" s="20" t="str">
        <f aca="false">IF(A139="","",SUMIF($A$5:$A$304,A139,$D$5:$D$304))</f>
        <v/>
      </c>
    </row>
    <row r="140" customFormat="false" ht="15" hidden="false" customHeight="false" outlineLevel="0" collapsed="false">
      <c r="A140" s="8"/>
      <c r="B140" s="16"/>
      <c r="C140" s="16"/>
      <c r="D140" s="8"/>
      <c r="E140" s="16"/>
      <c r="F140" s="8"/>
      <c r="G140" s="8"/>
      <c r="H140" s="20" t="str">
        <f aca="false">IF(A140="","",SUMIF($A$5:$A$304,A140,$D$5:$D$304))</f>
        <v/>
      </c>
    </row>
    <row r="141" customFormat="false" ht="15" hidden="false" customHeight="false" outlineLevel="0" collapsed="false">
      <c r="A141" s="8"/>
      <c r="B141" s="16"/>
      <c r="C141" s="16"/>
      <c r="D141" s="8"/>
      <c r="E141" s="16"/>
      <c r="F141" s="8"/>
      <c r="G141" s="8"/>
      <c r="H141" s="20" t="str">
        <f aca="false">IF(A141="","",SUMIF($A$5:$A$304,A141,$D$5:$D$304))</f>
        <v/>
      </c>
    </row>
    <row r="142" customFormat="false" ht="15" hidden="false" customHeight="false" outlineLevel="0" collapsed="false">
      <c r="A142" s="8"/>
      <c r="B142" s="16"/>
      <c r="C142" s="16"/>
      <c r="D142" s="8"/>
      <c r="E142" s="16"/>
      <c r="F142" s="8"/>
      <c r="G142" s="8"/>
      <c r="H142" s="20" t="str">
        <f aca="false">IF(A142="","",SUMIF($A$5:$A$304,A142,$D$5:$D$304))</f>
        <v/>
      </c>
    </row>
    <row r="143" customFormat="false" ht="15" hidden="false" customHeight="false" outlineLevel="0" collapsed="false">
      <c r="A143" s="8"/>
      <c r="B143" s="16"/>
      <c r="C143" s="16"/>
      <c r="D143" s="8"/>
      <c r="E143" s="16"/>
      <c r="F143" s="8"/>
      <c r="G143" s="8"/>
      <c r="H143" s="20" t="str">
        <f aca="false">IF(A143="","",SUMIF($A$5:$A$304,A143,$D$5:$D$304))</f>
        <v/>
      </c>
    </row>
    <row r="144" customFormat="false" ht="15" hidden="false" customHeight="false" outlineLevel="0" collapsed="false">
      <c r="A144" s="8"/>
      <c r="B144" s="16"/>
      <c r="C144" s="16"/>
      <c r="D144" s="8"/>
      <c r="E144" s="16"/>
      <c r="F144" s="8"/>
      <c r="G144" s="8"/>
      <c r="H144" s="20" t="str">
        <f aca="false">IF(A144="","",SUMIF($A$5:$A$304,A144,$D$5:$D$304))</f>
        <v/>
      </c>
    </row>
    <row r="145" customFormat="false" ht="15" hidden="false" customHeight="false" outlineLevel="0" collapsed="false">
      <c r="A145" s="8"/>
      <c r="B145" s="16"/>
      <c r="C145" s="16"/>
      <c r="D145" s="8"/>
      <c r="E145" s="16"/>
      <c r="F145" s="8"/>
      <c r="G145" s="8"/>
      <c r="H145" s="20" t="str">
        <f aca="false">IF(A145="","",SUMIF($A$5:$A$304,A145,$D$5:$D$304))</f>
        <v/>
      </c>
    </row>
    <row r="146" customFormat="false" ht="15" hidden="false" customHeight="false" outlineLevel="0" collapsed="false">
      <c r="A146" s="8"/>
      <c r="B146" s="16"/>
      <c r="C146" s="16"/>
      <c r="D146" s="8"/>
      <c r="E146" s="16"/>
      <c r="F146" s="8"/>
      <c r="G146" s="8"/>
      <c r="H146" s="20" t="str">
        <f aca="false">IF(A146="","",SUMIF($A$5:$A$304,A146,$D$5:$D$304))</f>
        <v/>
      </c>
    </row>
    <row r="147" customFormat="false" ht="15" hidden="false" customHeight="false" outlineLevel="0" collapsed="false">
      <c r="A147" s="8"/>
      <c r="B147" s="16"/>
      <c r="C147" s="16"/>
      <c r="D147" s="8"/>
      <c r="E147" s="16"/>
      <c r="F147" s="8"/>
      <c r="G147" s="8"/>
      <c r="H147" s="20" t="str">
        <f aca="false">IF(A147="","",SUMIF($A$5:$A$304,A147,$D$5:$D$304))</f>
        <v/>
      </c>
    </row>
    <row r="148" customFormat="false" ht="15" hidden="false" customHeight="false" outlineLevel="0" collapsed="false">
      <c r="A148" s="8"/>
      <c r="B148" s="16"/>
      <c r="C148" s="16"/>
      <c r="D148" s="8"/>
      <c r="E148" s="16"/>
      <c r="F148" s="8"/>
      <c r="G148" s="8"/>
      <c r="H148" s="20" t="str">
        <f aca="false">IF(A148="","",SUMIF($A$5:$A$304,A148,$D$5:$D$304))</f>
        <v/>
      </c>
    </row>
    <row r="149" customFormat="false" ht="15" hidden="false" customHeight="false" outlineLevel="0" collapsed="false">
      <c r="A149" s="8"/>
      <c r="B149" s="16"/>
      <c r="C149" s="16"/>
      <c r="D149" s="8"/>
      <c r="E149" s="16"/>
      <c r="F149" s="8"/>
      <c r="G149" s="8"/>
      <c r="H149" s="20" t="str">
        <f aca="false">IF(A149="","",SUMIF($A$5:$A$304,A149,$D$5:$D$304))</f>
        <v/>
      </c>
    </row>
    <row r="150" customFormat="false" ht="15" hidden="false" customHeight="false" outlineLevel="0" collapsed="false">
      <c r="A150" s="8"/>
      <c r="B150" s="16"/>
      <c r="C150" s="16"/>
      <c r="D150" s="8"/>
      <c r="E150" s="16"/>
      <c r="F150" s="8"/>
      <c r="G150" s="8"/>
      <c r="H150" s="20" t="str">
        <f aca="false">IF(A150="","",SUMIF($A$5:$A$304,A150,$D$5:$D$304))</f>
        <v/>
      </c>
    </row>
    <row r="151" customFormat="false" ht="15" hidden="false" customHeight="false" outlineLevel="0" collapsed="false">
      <c r="A151" s="8"/>
      <c r="B151" s="16"/>
      <c r="C151" s="16"/>
      <c r="D151" s="8"/>
      <c r="E151" s="16"/>
      <c r="F151" s="8"/>
      <c r="G151" s="8"/>
      <c r="H151" s="20" t="str">
        <f aca="false">IF(A151="","",SUMIF($A$5:$A$304,A151,$D$5:$D$304))</f>
        <v/>
      </c>
    </row>
    <row r="152" customFormat="false" ht="15" hidden="false" customHeight="false" outlineLevel="0" collapsed="false">
      <c r="A152" s="8"/>
      <c r="B152" s="16"/>
      <c r="C152" s="16"/>
      <c r="D152" s="8"/>
      <c r="E152" s="16"/>
      <c r="F152" s="8"/>
      <c r="G152" s="8"/>
      <c r="H152" s="20" t="str">
        <f aca="false">IF(A152="","",SUMIF($A$5:$A$304,A152,$D$5:$D$304))</f>
        <v/>
      </c>
    </row>
    <row r="153" customFormat="false" ht="15" hidden="false" customHeight="false" outlineLevel="0" collapsed="false">
      <c r="A153" s="8"/>
      <c r="B153" s="16"/>
      <c r="C153" s="16"/>
      <c r="D153" s="8"/>
      <c r="E153" s="16"/>
      <c r="F153" s="8"/>
      <c r="G153" s="8"/>
      <c r="H153" s="20" t="str">
        <f aca="false">IF(A153="","",SUMIF($A$5:$A$304,A153,$D$5:$D$304))</f>
        <v/>
      </c>
    </row>
    <row r="154" customFormat="false" ht="15" hidden="false" customHeight="false" outlineLevel="0" collapsed="false">
      <c r="A154" s="8"/>
      <c r="B154" s="16"/>
      <c r="C154" s="16"/>
      <c r="D154" s="8"/>
      <c r="E154" s="16"/>
      <c r="F154" s="8"/>
      <c r="G154" s="8"/>
      <c r="H154" s="20" t="str">
        <f aca="false">IF(A154="","",SUMIF($A$5:$A$304,A154,$D$5:$D$304))</f>
        <v/>
      </c>
    </row>
    <row r="155" customFormat="false" ht="15" hidden="false" customHeight="false" outlineLevel="0" collapsed="false">
      <c r="A155" s="8"/>
      <c r="B155" s="16"/>
      <c r="C155" s="16"/>
      <c r="D155" s="8"/>
      <c r="E155" s="16"/>
      <c r="F155" s="8"/>
      <c r="G155" s="8"/>
      <c r="H155" s="20" t="str">
        <f aca="false">IF(A155="","",SUMIF($A$5:$A$304,A155,$D$5:$D$304))</f>
        <v/>
      </c>
    </row>
    <row r="156" customFormat="false" ht="15" hidden="false" customHeight="false" outlineLevel="0" collapsed="false">
      <c r="A156" s="8"/>
      <c r="B156" s="16"/>
      <c r="C156" s="16"/>
      <c r="D156" s="8"/>
      <c r="E156" s="16"/>
      <c r="F156" s="8"/>
      <c r="G156" s="8"/>
      <c r="H156" s="20" t="str">
        <f aca="false">IF(A156="","",SUMIF($A$5:$A$304,A156,$D$5:$D$304))</f>
        <v/>
      </c>
    </row>
    <row r="157" customFormat="false" ht="15" hidden="false" customHeight="false" outlineLevel="0" collapsed="false">
      <c r="A157" s="8"/>
      <c r="B157" s="16"/>
      <c r="C157" s="16"/>
      <c r="D157" s="8"/>
      <c r="E157" s="16"/>
      <c r="F157" s="8"/>
      <c r="G157" s="8"/>
      <c r="H157" s="20" t="str">
        <f aca="false">IF(A157="","",SUMIF($A$5:$A$304,A157,$D$5:$D$304))</f>
        <v/>
      </c>
    </row>
    <row r="158" customFormat="false" ht="15" hidden="false" customHeight="false" outlineLevel="0" collapsed="false">
      <c r="A158" s="8"/>
      <c r="B158" s="16"/>
      <c r="C158" s="16"/>
      <c r="D158" s="8"/>
      <c r="E158" s="16"/>
      <c r="F158" s="8"/>
      <c r="G158" s="8"/>
      <c r="H158" s="20" t="str">
        <f aca="false">IF(A158="","",SUMIF($A$5:$A$304,A158,$D$5:$D$304))</f>
        <v/>
      </c>
    </row>
    <row r="159" customFormat="false" ht="15" hidden="false" customHeight="false" outlineLevel="0" collapsed="false">
      <c r="A159" s="8"/>
      <c r="B159" s="16"/>
      <c r="C159" s="16"/>
      <c r="D159" s="8"/>
      <c r="E159" s="16"/>
      <c r="F159" s="8"/>
      <c r="G159" s="8"/>
      <c r="H159" s="20" t="str">
        <f aca="false">IF(A159="","",SUMIF($A$5:$A$304,A159,$D$5:$D$304))</f>
        <v/>
      </c>
    </row>
    <row r="160" customFormat="false" ht="15" hidden="false" customHeight="false" outlineLevel="0" collapsed="false">
      <c r="A160" s="8"/>
      <c r="B160" s="16"/>
      <c r="C160" s="16"/>
      <c r="D160" s="8"/>
      <c r="E160" s="16"/>
      <c r="F160" s="8"/>
      <c r="G160" s="8"/>
      <c r="H160" s="20" t="str">
        <f aca="false">IF(A160="","",SUMIF($A$5:$A$304,A160,$D$5:$D$304))</f>
        <v/>
      </c>
    </row>
    <row r="161" customFormat="false" ht="15" hidden="false" customHeight="false" outlineLevel="0" collapsed="false">
      <c r="A161" s="8"/>
      <c r="B161" s="16"/>
      <c r="C161" s="16"/>
      <c r="D161" s="8"/>
      <c r="E161" s="16"/>
      <c r="F161" s="8"/>
      <c r="G161" s="8"/>
      <c r="H161" s="20" t="str">
        <f aca="false">IF(A161="","",SUMIF($A$5:$A$304,A161,$D$5:$D$304))</f>
        <v/>
      </c>
    </row>
    <row r="162" customFormat="false" ht="15" hidden="false" customHeight="false" outlineLevel="0" collapsed="false">
      <c r="A162" s="8"/>
      <c r="B162" s="16"/>
      <c r="C162" s="16"/>
      <c r="D162" s="8"/>
      <c r="E162" s="16"/>
      <c r="F162" s="8"/>
      <c r="G162" s="8"/>
      <c r="H162" s="20" t="str">
        <f aca="false">IF(A162="","",SUMIF($A$5:$A$304,A162,$D$5:$D$304))</f>
        <v/>
      </c>
    </row>
    <row r="163" customFormat="false" ht="15" hidden="false" customHeight="false" outlineLevel="0" collapsed="false">
      <c r="A163" s="8"/>
      <c r="B163" s="16"/>
      <c r="C163" s="16"/>
      <c r="D163" s="8"/>
      <c r="E163" s="16"/>
      <c r="F163" s="8"/>
      <c r="G163" s="8"/>
      <c r="H163" s="20" t="str">
        <f aca="false">IF(A163="","",SUMIF($A$5:$A$304,A163,$D$5:$D$304))</f>
        <v/>
      </c>
    </row>
    <row r="164" customFormat="false" ht="15" hidden="false" customHeight="false" outlineLevel="0" collapsed="false">
      <c r="A164" s="8"/>
      <c r="B164" s="16"/>
      <c r="C164" s="16"/>
      <c r="D164" s="8"/>
      <c r="E164" s="16"/>
      <c r="F164" s="8"/>
      <c r="G164" s="8"/>
      <c r="H164" s="20" t="str">
        <f aca="false">IF(A164="","",SUMIF($A$5:$A$304,A164,$D$5:$D$304))</f>
        <v/>
      </c>
    </row>
    <row r="165" customFormat="false" ht="15" hidden="false" customHeight="false" outlineLevel="0" collapsed="false">
      <c r="A165" s="8"/>
      <c r="B165" s="16"/>
      <c r="C165" s="16"/>
      <c r="D165" s="8"/>
      <c r="E165" s="16"/>
      <c r="F165" s="8"/>
      <c r="G165" s="8"/>
      <c r="H165" s="20" t="str">
        <f aca="false">IF(A165="","",SUMIF($A$5:$A$304,A165,$D$5:$D$304))</f>
        <v/>
      </c>
    </row>
    <row r="166" customFormat="false" ht="15" hidden="false" customHeight="false" outlineLevel="0" collapsed="false">
      <c r="A166" s="8"/>
      <c r="B166" s="16"/>
      <c r="C166" s="16"/>
      <c r="D166" s="8"/>
      <c r="E166" s="16"/>
      <c r="F166" s="8"/>
      <c r="G166" s="8"/>
      <c r="H166" s="20" t="str">
        <f aca="false">IF(A166="","",SUMIF($A$5:$A$304,A166,$D$5:$D$304))</f>
        <v/>
      </c>
    </row>
    <row r="167" customFormat="false" ht="15" hidden="false" customHeight="false" outlineLevel="0" collapsed="false">
      <c r="A167" s="8"/>
      <c r="B167" s="16"/>
      <c r="C167" s="16"/>
      <c r="D167" s="8"/>
      <c r="E167" s="16"/>
      <c r="F167" s="8"/>
      <c r="G167" s="8"/>
      <c r="H167" s="20" t="str">
        <f aca="false">IF(A167="","",SUMIF($A$5:$A$304,A167,$D$5:$D$304))</f>
        <v/>
      </c>
    </row>
    <row r="168" customFormat="false" ht="15" hidden="false" customHeight="false" outlineLevel="0" collapsed="false">
      <c r="A168" s="8"/>
      <c r="B168" s="16"/>
      <c r="C168" s="16"/>
      <c r="D168" s="8"/>
      <c r="E168" s="16"/>
      <c r="F168" s="8"/>
      <c r="G168" s="8"/>
      <c r="H168" s="20" t="str">
        <f aca="false">IF(A168="","",SUMIF($A$5:$A$304,A168,$D$5:$D$304))</f>
        <v/>
      </c>
    </row>
    <row r="169" customFormat="false" ht="15" hidden="false" customHeight="false" outlineLevel="0" collapsed="false">
      <c r="A169" s="8"/>
      <c r="B169" s="16"/>
      <c r="C169" s="16"/>
      <c r="D169" s="8"/>
      <c r="E169" s="16"/>
      <c r="F169" s="8"/>
      <c r="G169" s="8"/>
      <c r="H169" s="20" t="str">
        <f aca="false">IF(A169="","",SUMIF($A$5:$A$304,A169,$D$5:$D$304))</f>
        <v/>
      </c>
    </row>
    <row r="170" customFormat="false" ht="15" hidden="false" customHeight="false" outlineLevel="0" collapsed="false">
      <c r="A170" s="8"/>
      <c r="B170" s="16"/>
      <c r="C170" s="16"/>
      <c r="D170" s="8"/>
      <c r="E170" s="16"/>
      <c r="F170" s="8"/>
      <c r="G170" s="8"/>
      <c r="H170" s="20" t="str">
        <f aca="false">IF(A170="","",SUMIF($A$5:$A$304,A170,$D$5:$D$304))</f>
        <v/>
      </c>
    </row>
    <row r="171" customFormat="false" ht="15" hidden="false" customHeight="false" outlineLevel="0" collapsed="false">
      <c r="A171" s="8"/>
      <c r="B171" s="16"/>
      <c r="C171" s="16"/>
      <c r="D171" s="8"/>
      <c r="E171" s="16"/>
      <c r="F171" s="8"/>
      <c r="G171" s="8"/>
      <c r="H171" s="20" t="str">
        <f aca="false">IF(A171="","",SUMIF($A$5:$A$304,A171,$D$5:$D$304))</f>
        <v/>
      </c>
    </row>
    <row r="172" customFormat="false" ht="15" hidden="false" customHeight="false" outlineLevel="0" collapsed="false">
      <c r="A172" s="8"/>
      <c r="B172" s="16"/>
      <c r="C172" s="16"/>
      <c r="D172" s="8"/>
      <c r="E172" s="16"/>
      <c r="F172" s="8"/>
      <c r="G172" s="8"/>
      <c r="H172" s="20" t="str">
        <f aca="false">IF(A172="","",SUMIF($A$5:$A$304,A172,$D$5:$D$304))</f>
        <v/>
      </c>
    </row>
    <row r="173" customFormat="false" ht="15" hidden="false" customHeight="false" outlineLevel="0" collapsed="false">
      <c r="A173" s="8"/>
      <c r="B173" s="16"/>
      <c r="C173" s="16"/>
      <c r="D173" s="8"/>
      <c r="E173" s="16"/>
      <c r="F173" s="8"/>
      <c r="G173" s="8"/>
      <c r="H173" s="20" t="str">
        <f aca="false">IF(A173="","",SUMIF($A$5:$A$304,A173,$D$5:$D$304))</f>
        <v/>
      </c>
    </row>
    <row r="174" customFormat="false" ht="15" hidden="false" customHeight="false" outlineLevel="0" collapsed="false">
      <c r="A174" s="8"/>
      <c r="B174" s="16"/>
      <c r="C174" s="16"/>
      <c r="D174" s="8"/>
      <c r="E174" s="16"/>
      <c r="F174" s="8"/>
      <c r="G174" s="8"/>
      <c r="H174" s="20" t="str">
        <f aca="false">IF(A174="","",SUMIF($A$5:$A$304,A174,$D$5:$D$304))</f>
        <v/>
      </c>
    </row>
    <row r="175" customFormat="false" ht="15" hidden="false" customHeight="false" outlineLevel="0" collapsed="false">
      <c r="A175" s="8"/>
      <c r="B175" s="16"/>
      <c r="C175" s="16"/>
      <c r="D175" s="8"/>
      <c r="E175" s="16"/>
      <c r="F175" s="8"/>
      <c r="G175" s="8"/>
      <c r="H175" s="20" t="str">
        <f aca="false">IF(A175="","",SUMIF($A$5:$A$304,A175,$D$5:$D$304))</f>
        <v/>
      </c>
    </row>
    <row r="176" customFormat="false" ht="15" hidden="false" customHeight="false" outlineLevel="0" collapsed="false">
      <c r="A176" s="8"/>
      <c r="B176" s="16"/>
      <c r="C176" s="16"/>
      <c r="D176" s="8"/>
      <c r="E176" s="16"/>
      <c r="F176" s="8"/>
      <c r="G176" s="8"/>
      <c r="H176" s="20" t="str">
        <f aca="false">IF(A176="","",SUMIF($A$5:$A$304,A176,$D$5:$D$304))</f>
        <v/>
      </c>
    </row>
    <row r="177" customFormat="false" ht="15" hidden="false" customHeight="false" outlineLevel="0" collapsed="false">
      <c r="A177" s="8"/>
      <c r="B177" s="16"/>
      <c r="C177" s="16"/>
      <c r="D177" s="8"/>
      <c r="E177" s="16"/>
      <c r="F177" s="8"/>
      <c r="G177" s="8"/>
      <c r="H177" s="20" t="str">
        <f aca="false">IF(A177="","",SUMIF($A$5:$A$304,A177,$D$5:$D$304))</f>
        <v/>
      </c>
    </row>
    <row r="178" customFormat="false" ht="15" hidden="false" customHeight="false" outlineLevel="0" collapsed="false">
      <c r="A178" s="8"/>
      <c r="B178" s="16"/>
      <c r="C178" s="16"/>
      <c r="D178" s="8"/>
      <c r="E178" s="16"/>
      <c r="F178" s="8"/>
      <c r="G178" s="8"/>
      <c r="H178" s="20" t="str">
        <f aca="false">IF(A178="","",SUMIF($A$5:$A$304,A178,$D$5:$D$304))</f>
        <v/>
      </c>
    </row>
    <row r="179" customFormat="false" ht="15" hidden="false" customHeight="false" outlineLevel="0" collapsed="false">
      <c r="A179" s="8"/>
      <c r="B179" s="16"/>
      <c r="C179" s="16"/>
      <c r="D179" s="8"/>
      <c r="E179" s="16"/>
      <c r="F179" s="8"/>
      <c r="G179" s="8"/>
      <c r="H179" s="20" t="str">
        <f aca="false">IF(A179="","",SUMIF($A$5:$A$304,A179,$D$5:$D$304))</f>
        <v/>
      </c>
    </row>
    <row r="180" customFormat="false" ht="15" hidden="false" customHeight="false" outlineLevel="0" collapsed="false">
      <c r="A180" s="8"/>
      <c r="B180" s="16"/>
      <c r="C180" s="16"/>
      <c r="D180" s="8"/>
      <c r="E180" s="16"/>
      <c r="F180" s="8"/>
      <c r="G180" s="8"/>
      <c r="H180" s="20" t="str">
        <f aca="false">IF(A180="","",SUMIF($A$5:$A$304,A180,$D$5:$D$304))</f>
        <v/>
      </c>
    </row>
    <row r="181" customFormat="false" ht="15" hidden="false" customHeight="false" outlineLevel="0" collapsed="false">
      <c r="A181" s="8"/>
      <c r="B181" s="16"/>
      <c r="C181" s="16"/>
      <c r="D181" s="8"/>
      <c r="E181" s="16"/>
      <c r="F181" s="8"/>
      <c r="G181" s="8"/>
      <c r="H181" s="20" t="str">
        <f aca="false">IF(A181="","",SUMIF($A$5:$A$304,A181,$D$5:$D$304))</f>
        <v/>
      </c>
    </row>
    <row r="182" customFormat="false" ht="15" hidden="false" customHeight="false" outlineLevel="0" collapsed="false">
      <c r="A182" s="8"/>
      <c r="B182" s="16"/>
      <c r="C182" s="16"/>
      <c r="D182" s="8"/>
      <c r="E182" s="16"/>
      <c r="F182" s="8"/>
      <c r="G182" s="8"/>
      <c r="H182" s="20" t="str">
        <f aca="false">IF(A182="","",SUMIF($A$5:$A$304,A182,$D$5:$D$304))</f>
        <v/>
      </c>
    </row>
    <row r="183" customFormat="false" ht="15" hidden="false" customHeight="false" outlineLevel="0" collapsed="false">
      <c r="A183" s="8"/>
      <c r="B183" s="16"/>
      <c r="C183" s="16"/>
      <c r="D183" s="8"/>
      <c r="E183" s="16"/>
      <c r="F183" s="8"/>
      <c r="G183" s="8"/>
      <c r="H183" s="20" t="str">
        <f aca="false">IF(A183="","",SUMIF($A$5:$A$304,A183,$D$5:$D$304))</f>
        <v/>
      </c>
    </row>
    <row r="184" customFormat="false" ht="15" hidden="false" customHeight="false" outlineLevel="0" collapsed="false">
      <c r="A184" s="8"/>
      <c r="B184" s="16"/>
      <c r="C184" s="16"/>
      <c r="D184" s="8"/>
      <c r="E184" s="16"/>
      <c r="F184" s="8"/>
      <c r="G184" s="8"/>
      <c r="H184" s="20" t="str">
        <f aca="false">IF(A184="","",SUMIF($A$5:$A$304,A184,$D$5:$D$304))</f>
        <v/>
      </c>
    </row>
    <row r="185" customFormat="false" ht="15" hidden="false" customHeight="false" outlineLevel="0" collapsed="false">
      <c r="A185" s="8"/>
      <c r="B185" s="16"/>
      <c r="C185" s="16"/>
      <c r="D185" s="8"/>
      <c r="E185" s="16"/>
      <c r="F185" s="8"/>
      <c r="G185" s="8"/>
      <c r="H185" s="20" t="str">
        <f aca="false">IF(A185="","",SUMIF($A$5:$A$304,A185,$D$5:$D$304))</f>
        <v/>
      </c>
    </row>
    <row r="186" customFormat="false" ht="15" hidden="false" customHeight="false" outlineLevel="0" collapsed="false">
      <c r="A186" s="8"/>
      <c r="B186" s="16"/>
      <c r="C186" s="16"/>
      <c r="D186" s="8"/>
      <c r="E186" s="16"/>
      <c r="F186" s="8"/>
      <c r="G186" s="8"/>
      <c r="H186" s="20" t="str">
        <f aca="false">IF(A186="","",SUMIF($A$5:$A$304,A186,$D$5:$D$304))</f>
        <v/>
      </c>
    </row>
    <row r="187" customFormat="false" ht="15" hidden="false" customHeight="false" outlineLevel="0" collapsed="false">
      <c r="A187" s="8"/>
      <c r="B187" s="16"/>
      <c r="C187" s="16"/>
      <c r="D187" s="8"/>
      <c r="E187" s="16"/>
      <c r="F187" s="8"/>
      <c r="G187" s="8"/>
      <c r="H187" s="20" t="str">
        <f aca="false">IF(A187="","",SUMIF($A$5:$A$304,A187,$D$5:$D$304))</f>
        <v/>
      </c>
    </row>
    <row r="188" customFormat="false" ht="15" hidden="false" customHeight="false" outlineLevel="0" collapsed="false">
      <c r="A188" s="8"/>
      <c r="B188" s="16"/>
      <c r="C188" s="16"/>
      <c r="D188" s="8"/>
      <c r="E188" s="16"/>
      <c r="F188" s="8"/>
      <c r="G188" s="8"/>
      <c r="H188" s="20" t="str">
        <f aca="false">IF(A188="","",SUMIF($A$5:$A$304,A188,$D$5:$D$304))</f>
        <v/>
      </c>
    </row>
    <row r="189" customFormat="false" ht="15" hidden="false" customHeight="false" outlineLevel="0" collapsed="false">
      <c r="A189" s="8"/>
      <c r="B189" s="16"/>
      <c r="C189" s="16"/>
      <c r="D189" s="8"/>
      <c r="E189" s="16"/>
      <c r="F189" s="8"/>
      <c r="G189" s="8"/>
      <c r="H189" s="20" t="str">
        <f aca="false">IF(A189="","",SUMIF($A$5:$A$304,A189,$D$5:$D$304))</f>
        <v/>
      </c>
    </row>
    <row r="190" customFormat="false" ht="15" hidden="false" customHeight="false" outlineLevel="0" collapsed="false">
      <c r="A190" s="8"/>
      <c r="B190" s="16"/>
      <c r="C190" s="16"/>
      <c r="D190" s="8"/>
      <c r="E190" s="16"/>
      <c r="F190" s="8"/>
      <c r="G190" s="8"/>
      <c r="H190" s="20" t="str">
        <f aca="false">IF(A190="","",SUMIF($A$5:$A$304,A190,$D$5:$D$304))</f>
        <v/>
      </c>
    </row>
    <row r="191" customFormat="false" ht="15" hidden="false" customHeight="false" outlineLevel="0" collapsed="false">
      <c r="A191" s="8"/>
      <c r="B191" s="16"/>
      <c r="C191" s="16"/>
      <c r="D191" s="8"/>
      <c r="E191" s="16"/>
      <c r="F191" s="8"/>
      <c r="G191" s="8"/>
      <c r="H191" s="20" t="str">
        <f aca="false">IF(A191="","",SUMIF($A$5:$A$304,A191,$D$5:$D$304))</f>
        <v/>
      </c>
    </row>
    <row r="192" customFormat="false" ht="15" hidden="false" customHeight="false" outlineLevel="0" collapsed="false">
      <c r="A192" s="8"/>
      <c r="B192" s="16"/>
      <c r="C192" s="16"/>
      <c r="D192" s="8"/>
      <c r="E192" s="16"/>
      <c r="F192" s="8"/>
      <c r="G192" s="8"/>
      <c r="H192" s="20" t="str">
        <f aca="false">IF(A192="","",SUMIF($A$5:$A$304,A192,$D$5:$D$304))</f>
        <v/>
      </c>
    </row>
    <row r="193" customFormat="false" ht="15" hidden="false" customHeight="false" outlineLevel="0" collapsed="false">
      <c r="A193" s="8"/>
      <c r="B193" s="16"/>
      <c r="C193" s="16"/>
      <c r="D193" s="8"/>
      <c r="E193" s="16"/>
      <c r="F193" s="8"/>
      <c r="G193" s="8"/>
      <c r="H193" s="20" t="str">
        <f aca="false">IF(A193="","",SUMIF($A$5:$A$304,A193,$D$5:$D$304))</f>
        <v/>
      </c>
    </row>
    <row r="194" customFormat="false" ht="15" hidden="false" customHeight="false" outlineLevel="0" collapsed="false">
      <c r="A194" s="8"/>
      <c r="B194" s="16"/>
      <c r="C194" s="16"/>
      <c r="D194" s="8"/>
      <c r="E194" s="16"/>
      <c r="F194" s="8"/>
      <c r="G194" s="8"/>
      <c r="H194" s="20" t="str">
        <f aca="false">IF(A194="","",SUMIF($A$5:$A$304,A194,$D$5:$D$304))</f>
        <v/>
      </c>
    </row>
    <row r="195" customFormat="false" ht="15" hidden="false" customHeight="false" outlineLevel="0" collapsed="false">
      <c r="A195" s="8"/>
      <c r="B195" s="16"/>
      <c r="C195" s="16"/>
      <c r="D195" s="8"/>
      <c r="E195" s="16"/>
      <c r="F195" s="8"/>
      <c r="G195" s="8"/>
      <c r="H195" s="20" t="str">
        <f aca="false">IF(A195="","",SUMIF($A$5:$A$304,A195,$D$5:$D$304))</f>
        <v/>
      </c>
    </row>
    <row r="196" customFormat="false" ht="15" hidden="false" customHeight="false" outlineLevel="0" collapsed="false">
      <c r="A196" s="8"/>
      <c r="B196" s="16"/>
      <c r="C196" s="16"/>
      <c r="D196" s="8"/>
      <c r="E196" s="16"/>
      <c r="F196" s="8"/>
      <c r="G196" s="8"/>
      <c r="H196" s="20" t="str">
        <f aca="false">IF(A196="","",SUMIF($A$5:$A$304,A196,$D$5:$D$304))</f>
        <v/>
      </c>
    </row>
    <row r="197" customFormat="false" ht="15" hidden="false" customHeight="false" outlineLevel="0" collapsed="false">
      <c r="A197" s="8"/>
      <c r="B197" s="16"/>
      <c r="C197" s="16"/>
      <c r="D197" s="8"/>
      <c r="E197" s="16"/>
      <c r="F197" s="8"/>
      <c r="G197" s="8"/>
      <c r="H197" s="20" t="str">
        <f aca="false">IF(A197="","",SUMIF($A$5:$A$304,A197,$D$5:$D$304))</f>
        <v/>
      </c>
    </row>
    <row r="198" customFormat="false" ht="15" hidden="false" customHeight="false" outlineLevel="0" collapsed="false">
      <c r="A198" s="8"/>
      <c r="B198" s="16"/>
      <c r="C198" s="16"/>
      <c r="D198" s="8"/>
      <c r="E198" s="16"/>
      <c r="F198" s="8"/>
      <c r="G198" s="8"/>
      <c r="H198" s="20" t="str">
        <f aca="false">IF(A198="","",SUMIF($A$5:$A$304,A198,$D$5:$D$304))</f>
        <v/>
      </c>
    </row>
    <row r="199" customFormat="false" ht="15" hidden="false" customHeight="false" outlineLevel="0" collapsed="false">
      <c r="A199" s="8"/>
      <c r="B199" s="16"/>
      <c r="C199" s="16"/>
      <c r="D199" s="8"/>
      <c r="E199" s="16"/>
      <c r="F199" s="8"/>
      <c r="G199" s="8"/>
      <c r="H199" s="20" t="str">
        <f aca="false">IF(A199="","",SUMIF($A$5:$A$304,A199,$D$5:$D$304))</f>
        <v/>
      </c>
    </row>
    <row r="200" customFormat="false" ht="15" hidden="false" customHeight="false" outlineLevel="0" collapsed="false">
      <c r="A200" s="8"/>
      <c r="B200" s="16"/>
      <c r="C200" s="16"/>
      <c r="D200" s="8"/>
      <c r="E200" s="16"/>
      <c r="F200" s="8"/>
      <c r="G200" s="8"/>
      <c r="H200" s="20" t="str">
        <f aca="false">IF(A200="","",SUMIF($A$5:$A$304,A200,$D$5:$D$304))</f>
        <v/>
      </c>
    </row>
    <row r="201" customFormat="false" ht="15" hidden="false" customHeight="false" outlineLevel="0" collapsed="false">
      <c r="A201" s="8"/>
      <c r="B201" s="16"/>
      <c r="C201" s="16"/>
      <c r="D201" s="8"/>
      <c r="E201" s="16"/>
      <c r="F201" s="8"/>
      <c r="G201" s="8"/>
      <c r="H201" s="20" t="str">
        <f aca="false">IF(A201="","",SUMIF($A$5:$A$304,A201,$D$5:$D$304))</f>
        <v/>
      </c>
    </row>
    <row r="202" customFormat="false" ht="15" hidden="false" customHeight="false" outlineLevel="0" collapsed="false">
      <c r="A202" s="8"/>
      <c r="B202" s="16"/>
      <c r="C202" s="16"/>
      <c r="D202" s="8"/>
      <c r="E202" s="16"/>
      <c r="F202" s="8"/>
      <c r="G202" s="8"/>
      <c r="H202" s="20" t="str">
        <f aca="false">IF(A202="","",SUMIF($A$5:$A$304,A202,$D$5:$D$304))</f>
        <v/>
      </c>
    </row>
    <row r="203" customFormat="false" ht="15" hidden="false" customHeight="false" outlineLevel="0" collapsed="false">
      <c r="A203" s="8"/>
      <c r="B203" s="16"/>
      <c r="C203" s="16"/>
      <c r="D203" s="8"/>
      <c r="E203" s="16"/>
      <c r="F203" s="8"/>
      <c r="G203" s="8"/>
      <c r="H203" s="20" t="str">
        <f aca="false">IF(A203="","",SUMIF($A$5:$A$304,A203,$D$5:$D$304))</f>
        <v/>
      </c>
    </row>
    <row r="204" customFormat="false" ht="15" hidden="false" customHeight="false" outlineLevel="0" collapsed="false">
      <c r="A204" s="8"/>
      <c r="B204" s="16"/>
      <c r="C204" s="16"/>
      <c r="D204" s="8"/>
      <c r="E204" s="16"/>
      <c r="F204" s="8"/>
      <c r="G204" s="8"/>
      <c r="H204" s="20" t="str">
        <f aca="false">IF(A204="","",SUMIF($A$5:$A$304,A204,$D$5:$D$304))</f>
        <v/>
      </c>
    </row>
    <row r="205" customFormat="false" ht="15" hidden="false" customHeight="false" outlineLevel="0" collapsed="false">
      <c r="A205" s="8"/>
      <c r="B205" s="16"/>
      <c r="C205" s="16"/>
      <c r="D205" s="8"/>
      <c r="E205" s="16"/>
      <c r="F205" s="8"/>
      <c r="G205" s="8"/>
      <c r="H205" s="20" t="str">
        <f aca="false">IF(A205="","",SUMIF($A$5:$A$304,A205,$D$5:$D$304))</f>
        <v/>
      </c>
    </row>
    <row r="206" customFormat="false" ht="15" hidden="false" customHeight="false" outlineLevel="0" collapsed="false">
      <c r="A206" s="8"/>
      <c r="B206" s="16"/>
      <c r="C206" s="16"/>
      <c r="D206" s="8"/>
      <c r="E206" s="16"/>
      <c r="F206" s="8"/>
      <c r="G206" s="8"/>
      <c r="H206" s="20" t="str">
        <f aca="false">IF(A206="","",SUMIF($A$5:$A$304,A206,$D$5:$D$304))</f>
        <v/>
      </c>
    </row>
    <row r="207" customFormat="false" ht="15" hidden="false" customHeight="false" outlineLevel="0" collapsed="false">
      <c r="A207" s="8"/>
      <c r="B207" s="16"/>
      <c r="C207" s="16"/>
      <c r="D207" s="8"/>
      <c r="E207" s="16"/>
      <c r="F207" s="8"/>
      <c r="G207" s="8"/>
      <c r="H207" s="20" t="str">
        <f aca="false">IF(A207="","",SUMIF($A$5:$A$304,A207,$D$5:$D$304))</f>
        <v/>
      </c>
    </row>
    <row r="208" customFormat="false" ht="15" hidden="false" customHeight="false" outlineLevel="0" collapsed="false">
      <c r="A208" s="8"/>
      <c r="B208" s="16"/>
      <c r="C208" s="16"/>
      <c r="D208" s="8"/>
      <c r="E208" s="16"/>
      <c r="F208" s="8"/>
      <c r="G208" s="8"/>
      <c r="H208" s="20" t="str">
        <f aca="false">IF(A208="","",SUMIF($A$5:$A$304,A208,$D$5:$D$304))</f>
        <v/>
      </c>
    </row>
    <row r="209" customFormat="false" ht="15" hidden="false" customHeight="false" outlineLevel="0" collapsed="false">
      <c r="A209" s="8"/>
      <c r="B209" s="16"/>
      <c r="C209" s="16"/>
      <c r="D209" s="8"/>
      <c r="E209" s="16"/>
      <c r="F209" s="8"/>
      <c r="G209" s="8"/>
      <c r="H209" s="20" t="str">
        <f aca="false">IF(A209="","",SUMIF($A$5:$A$304,A209,$D$5:$D$304))</f>
        <v/>
      </c>
    </row>
    <row r="210" customFormat="false" ht="15" hidden="false" customHeight="false" outlineLevel="0" collapsed="false">
      <c r="A210" s="8"/>
      <c r="B210" s="16"/>
      <c r="C210" s="16"/>
      <c r="D210" s="8"/>
      <c r="E210" s="16"/>
      <c r="F210" s="8"/>
      <c r="G210" s="8"/>
      <c r="H210" s="20" t="str">
        <f aca="false">IF(A210="","",SUMIF($A$5:$A$304,A210,$D$5:$D$304))</f>
        <v/>
      </c>
    </row>
    <row r="211" customFormat="false" ht="15" hidden="false" customHeight="false" outlineLevel="0" collapsed="false">
      <c r="A211" s="8"/>
      <c r="B211" s="16"/>
      <c r="C211" s="16"/>
      <c r="D211" s="8"/>
      <c r="E211" s="16"/>
      <c r="F211" s="8"/>
      <c r="G211" s="8"/>
      <c r="H211" s="20" t="str">
        <f aca="false">IF(A211="","",SUMIF($A$5:$A$304,A211,$D$5:$D$304))</f>
        <v/>
      </c>
    </row>
    <row r="212" customFormat="false" ht="15" hidden="false" customHeight="false" outlineLevel="0" collapsed="false">
      <c r="A212" s="8"/>
      <c r="B212" s="16"/>
      <c r="C212" s="16"/>
      <c r="D212" s="8"/>
      <c r="E212" s="16"/>
      <c r="F212" s="8"/>
      <c r="G212" s="8"/>
      <c r="H212" s="20" t="str">
        <f aca="false">IF(A212="","",SUMIF($A$5:$A$304,A212,$D$5:$D$304))</f>
        <v/>
      </c>
    </row>
    <row r="213" customFormat="false" ht="15" hidden="false" customHeight="false" outlineLevel="0" collapsed="false">
      <c r="A213" s="8"/>
      <c r="B213" s="16"/>
      <c r="C213" s="16"/>
      <c r="D213" s="8"/>
      <c r="E213" s="16"/>
      <c r="F213" s="8"/>
      <c r="G213" s="8"/>
      <c r="H213" s="20" t="str">
        <f aca="false">IF(A213="","",SUMIF($A$5:$A$304,A213,$D$5:$D$304))</f>
        <v/>
      </c>
    </row>
    <row r="214" customFormat="false" ht="15" hidden="false" customHeight="false" outlineLevel="0" collapsed="false">
      <c r="A214" s="8"/>
      <c r="B214" s="16"/>
      <c r="C214" s="16"/>
      <c r="D214" s="8"/>
      <c r="E214" s="16"/>
      <c r="F214" s="8"/>
      <c r="G214" s="8"/>
      <c r="H214" s="20" t="str">
        <f aca="false">IF(A214="","",SUMIF($A$5:$A$304,A214,$D$5:$D$304))</f>
        <v/>
      </c>
    </row>
    <row r="215" customFormat="false" ht="15" hidden="false" customHeight="false" outlineLevel="0" collapsed="false">
      <c r="A215" s="8"/>
      <c r="B215" s="16"/>
      <c r="C215" s="16"/>
      <c r="D215" s="8"/>
      <c r="E215" s="16"/>
      <c r="F215" s="8"/>
      <c r="G215" s="8"/>
      <c r="H215" s="20" t="str">
        <f aca="false">IF(A215="","",SUMIF($A$5:$A$304,A215,$D$5:$D$304))</f>
        <v/>
      </c>
    </row>
    <row r="216" customFormat="false" ht="15" hidden="false" customHeight="false" outlineLevel="0" collapsed="false">
      <c r="A216" s="8"/>
      <c r="B216" s="16"/>
      <c r="C216" s="16"/>
      <c r="D216" s="8"/>
      <c r="E216" s="16"/>
      <c r="F216" s="8"/>
      <c r="G216" s="8"/>
      <c r="H216" s="20" t="str">
        <f aca="false">IF(A216="","",SUMIF($A$5:$A$304,A216,$D$5:$D$304))</f>
        <v/>
      </c>
    </row>
    <row r="217" customFormat="false" ht="15" hidden="false" customHeight="false" outlineLevel="0" collapsed="false">
      <c r="A217" s="8"/>
      <c r="B217" s="16"/>
      <c r="C217" s="16"/>
      <c r="D217" s="8"/>
      <c r="E217" s="16"/>
      <c r="F217" s="8"/>
      <c r="G217" s="8"/>
      <c r="H217" s="20" t="str">
        <f aca="false">IF(A217="","",SUMIF($A$5:$A$304,A217,$D$5:$D$304))</f>
        <v/>
      </c>
    </row>
    <row r="218" customFormat="false" ht="15" hidden="false" customHeight="false" outlineLevel="0" collapsed="false">
      <c r="A218" s="8"/>
      <c r="B218" s="16"/>
      <c r="C218" s="16"/>
      <c r="D218" s="8"/>
      <c r="E218" s="16"/>
      <c r="F218" s="8"/>
      <c r="G218" s="8"/>
      <c r="H218" s="20" t="str">
        <f aca="false">IF(A218="","",SUMIF($A$5:$A$304,A218,$D$5:$D$304))</f>
        <v/>
      </c>
    </row>
    <row r="219" customFormat="false" ht="15" hidden="false" customHeight="false" outlineLevel="0" collapsed="false">
      <c r="A219" s="8"/>
      <c r="B219" s="16"/>
      <c r="C219" s="16"/>
      <c r="D219" s="8"/>
      <c r="E219" s="16"/>
      <c r="F219" s="8"/>
      <c r="G219" s="8"/>
      <c r="H219" s="20" t="str">
        <f aca="false">IF(A219="","",SUMIF($A$5:$A$304,A219,$D$5:$D$304))</f>
        <v/>
      </c>
    </row>
    <row r="220" customFormat="false" ht="15" hidden="false" customHeight="false" outlineLevel="0" collapsed="false">
      <c r="A220" s="8"/>
      <c r="B220" s="16"/>
      <c r="C220" s="16"/>
      <c r="D220" s="8"/>
      <c r="E220" s="16"/>
      <c r="F220" s="8"/>
      <c r="G220" s="8"/>
      <c r="H220" s="20" t="str">
        <f aca="false">IF(A220="","",SUMIF($A$5:$A$304,A220,$D$5:$D$304))</f>
        <v/>
      </c>
    </row>
    <row r="221" customFormat="false" ht="15" hidden="false" customHeight="false" outlineLevel="0" collapsed="false">
      <c r="A221" s="8"/>
      <c r="B221" s="16"/>
      <c r="C221" s="16"/>
      <c r="D221" s="8"/>
      <c r="E221" s="16"/>
      <c r="F221" s="8"/>
      <c r="G221" s="8"/>
      <c r="H221" s="20" t="str">
        <f aca="false">IF(A221="","",SUMIF($A$5:$A$304,A221,$D$5:$D$304))</f>
        <v/>
      </c>
    </row>
    <row r="222" customFormat="false" ht="15" hidden="false" customHeight="false" outlineLevel="0" collapsed="false">
      <c r="A222" s="8"/>
      <c r="B222" s="16"/>
      <c r="C222" s="16"/>
      <c r="D222" s="8"/>
      <c r="E222" s="16"/>
      <c r="F222" s="8"/>
      <c r="G222" s="8"/>
      <c r="H222" s="20" t="str">
        <f aca="false">IF(A222="","",SUMIF($A$5:$A$304,A222,$D$5:$D$304))</f>
        <v/>
      </c>
    </row>
    <row r="223" customFormat="false" ht="15" hidden="false" customHeight="false" outlineLevel="0" collapsed="false">
      <c r="A223" s="8"/>
      <c r="B223" s="16"/>
      <c r="C223" s="16"/>
      <c r="D223" s="8"/>
      <c r="E223" s="16"/>
      <c r="F223" s="8"/>
      <c r="G223" s="8"/>
      <c r="H223" s="20" t="str">
        <f aca="false">IF(A223="","",SUMIF($A$5:$A$304,A223,$D$5:$D$304))</f>
        <v/>
      </c>
    </row>
    <row r="224" customFormat="false" ht="15" hidden="false" customHeight="false" outlineLevel="0" collapsed="false">
      <c r="A224" s="8"/>
      <c r="B224" s="16"/>
      <c r="C224" s="16"/>
      <c r="D224" s="8"/>
      <c r="E224" s="16"/>
      <c r="F224" s="8"/>
      <c r="G224" s="8"/>
      <c r="H224" s="20" t="str">
        <f aca="false">IF(A224="","",SUMIF($A$5:$A$304,A224,$D$5:$D$304))</f>
        <v/>
      </c>
    </row>
    <row r="225" customFormat="false" ht="15" hidden="false" customHeight="false" outlineLevel="0" collapsed="false">
      <c r="A225" s="8"/>
      <c r="B225" s="16"/>
      <c r="C225" s="16"/>
      <c r="D225" s="8"/>
      <c r="E225" s="16"/>
      <c r="F225" s="8"/>
      <c r="G225" s="8"/>
      <c r="H225" s="20" t="str">
        <f aca="false">IF(A225="","",SUMIF($A$5:$A$304,A225,$D$5:$D$304))</f>
        <v/>
      </c>
    </row>
    <row r="226" customFormat="false" ht="15" hidden="false" customHeight="false" outlineLevel="0" collapsed="false">
      <c r="A226" s="8"/>
      <c r="B226" s="16"/>
      <c r="C226" s="16"/>
      <c r="D226" s="8"/>
      <c r="E226" s="16"/>
      <c r="F226" s="8"/>
      <c r="G226" s="8"/>
      <c r="H226" s="20" t="str">
        <f aca="false">IF(A226="","",SUMIF($A$5:$A$304,A226,$D$5:$D$304))</f>
        <v/>
      </c>
    </row>
    <row r="227" customFormat="false" ht="15" hidden="false" customHeight="false" outlineLevel="0" collapsed="false">
      <c r="A227" s="8"/>
      <c r="B227" s="16"/>
      <c r="C227" s="16"/>
      <c r="D227" s="8"/>
      <c r="E227" s="16"/>
      <c r="F227" s="8"/>
      <c r="G227" s="8"/>
      <c r="H227" s="20" t="str">
        <f aca="false">IF(A227="","",SUMIF($A$5:$A$304,A227,$D$5:$D$304))</f>
        <v/>
      </c>
    </row>
    <row r="228" customFormat="false" ht="15" hidden="false" customHeight="false" outlineLevel="0" collapsed="false">
      <c r="A228" s="8"/>
      <c r="B228" s="16"/>
      <c r="C228" s="16"/>
      <c r="D228" s="8"/>
      <c r="E228" s="16"/>
      <c r="F228" s="8"/>
      <c r="G228" s="8"/>
      <c r="H228" s="20" t="str">
        <f aca="false">IF(A228="","",SUMIF($A$5:$A$304,A228,$D$5:$D$304))</f>
        <v/>
      </c>
    </row>
    <row r="229" customFormat="false" ht="15" hidden="false" customHeight="false" outlineLevel="0" collapsed="false">
      <c r="A229" s="8"/>
      <c r="B229" s="16"/>
      <c r="C229" s="16"/>
      <c r="D229" s="8"/>
      <c r="E229" s="16"/>
      <c r="F229" s="8"/>
      <c r="G229" s="8"/>
      <c r="H229" s="20" t="str">
        <f aca="false">IF(A229="","",SUMIF($A$5:$A$304,A229,$D$5:$D$304))</f>
        <v/>
      </c>
    </row>
    <row r="230" customFormat="false" ht="15" hidden="false" customHeight="false" outlineLevel="0" collapsed="false">
      <c r="A230" s="8"/>
      <c r="B230" s="16"/>
      <c r="C230" s="16"/>
      <c r="D230" s="8"/>
      <c r="E230" s="16"/>
      <c r="F230" s="8"/>
      <c r="G230" s="8"/>
      <c r="H230" s="20" t="str">
        <f aca="false">IF(A230="","",SUMIF($A$5:$A$304,A230,$D$5:$D$304))</f>
        <v/>
      </c>
    </row>
    <row r="231" customFormat="false" ht="15" hidden="false" customHeight="false" outlineLevel="0" collapsed="false">
      <c r="A231" s="8"/>
      <c r="B231" s="16"/>
      <c r="C231" s="16"/>
      <c r="D231" s="8"/>
      <c r="E231" s="16"/>
      <c r="F231" s="8"/>
      <c r="G231" s="8"/>
      <c r="H231" s="20" t="str">
        <f aca="false">IF(A231="","",SUMIF($A$5:$A$304,A231,$D$5:$D$304))</f>
        <v/>
      </c>
    </row>
    <row r="232" customFormat="false" ht="15" hidden="false" customHeight="false" outlineLevel="0" collapsed="false">
      <c r="A232" s="8"/>
      <c r="B232" s="16"/>
      <c r="C232" s="16"/>
      <c r="D232" s="8"/>
      <c r="E232" s="16"/>
      <c r="F232" s="8"/>
      <c r="G232" s="8"/>
      <c r="H232" s="20" t="str">
        <f aca="false">IF(A232="","",SUMIF($A$5:$A$304,A232,$D$5:$D$304))</f>
        <v/>
      </c>
    </row>
    <row r="233" customFormat="false" ht="15" hidden="false" customHeight="false" outlineLevel="0" collapsed="false">
      <c r="A233" s="8"/>
      <c r="B233" s="16"/>
      <c r="C233" s="16"/>
      <c r="D233" s="8"/>
      <c r="E233" s="16"/>
      <c r="F233" s="8"/>
      <c r="G233" s="8"/>
      <c r="H233" s="20" t="str">
        <f aca="false">IF(A233="","",SUMIF($A$5:$A$304,A233,$D$5:$D$304))</f>
        <v/>
      </c>
    </row>
    <row r="234" customFormat="false" ht="15" hidden="false" customHeight="false" outlineLevel="0" collapsed="false">
      <c r="A234" s="8"/>
      <c r="B234" s="16"/>
      <c r="C234" s="16"/>
      <c r="D234" s="8"/>
      <c r="E234" s="16"/>
      <c r="F234" s="8"/>
      <c r="G234" s="8"/>
      <c r="H234" s="20" t="str">
        <f aca="false">IF(A234="","",SUMIF($A$5:$A$304,A234,$D$5:$D$304))</f>
        <v/>
      </c>
    </row>
    <row r="235" customFormat="false" ht="15" hidden="false" customHeight="false" outlineLevel="0" collapsed="false">
      <c r="A235" s="8"/>
      <c r="B235" s="16"/>
      <c r="C235" s="16"/>
      <c r="D235" s="8"/>
      <c r="E235" s="16"/>
      <c r="F235" s="8"/>
      <c r="G235" s="8"/>
      <c r="H235" s="20" t="str">
        <f aca="false">IF(A235="","",SUMIF($A$5:$A$304,A235,$D$5:$D$304))</f>
        <v/>
      </c>
    </row>
    <row r="236" customFormat="false" ht="15" hidden="false" customHeight="false" outlineLevel="0" collapsed="false">
      <c r="A236" s="8"/>
      <c r="B236" s="16"/>
      <c r="C236" s="16"/>
      <c r="D236" s="8"/>
      <c r="E236" s="16"/>
      <c r="F236" s="8"/>
      <c r="G236" s="8"/>
      <c r="H236" s="20" t="str">
        <f aca="false">IF(A236="","",SUMIF($A$5:$A$304,A236,$D$5:$D$304))</f>
        <v/>
      </c>
    </row>
    <row r="237" customFormat="false" ht="15" hidden="false" customHeight="false" outlineLevel="0" collapsed="false">
      <c r="A237" s="8"/>
      <c r="B237" s="16"/>
      <c r="C237" s="16"/>
      <c r="D237" s="8"/>
      <c r="E237" s="16"/>
      <c r="F237" s="8"/>
      <c r="G237" s="8"/>
      <c r="H237" s="20" t="str">
        <f aca="false">IF(A237="","",SUMIF($A$5:$A$304,A237,$D$5:$D$304))</f>
        <v/>
      </c>
    </row>
    <row r="238" customFormat="false" ht="15" hidden="false" customHeight="false" outlineLevel="0" collapsed="false">
      <c r="A238" s="8"/>
      <c r="B238" s="16"/>
      <c r="C238" s="16"/>
      <c r="D238" s="8"/>
      <c r="E238" s="16"/>
      <c r="F238" s="8"/>
      <c r="G238" s="8"/>
      <c r="H238" s="20" t="str">
        <f aca="false">IF(A238="","",SUMIF($A$5:$A$304,A238,$D$5:$D$304))</f>
        <v/>
      </c>
    </row>
    <row r="239" customFormat="false" ht="15" hidden="false" customHeight="false" outlineLevel="0" collapsed="false">
      <c r="A239" s="8"/>
      <c r="B239" s="16"/>
      <c r="C239" s="16"/>
      <c r="D239" s="8"/>
      <c r="E239" s="16"/>
      <c r="F239" s="8"/>
      <c r="G239" s="8"/>
      <c r="H239" s="20" t="str">
        <f aca="false">IF(A239="","",SUMIF($A$5:$A$304,A239,$D$5:$D$304))</f>
        <v/>
      </c>
    </row>
    <row r="240" customFormat="false" ht="15" hidden="false" customHeight="false" outlineLevel="0" collapsed="false">
      <c r="A240" s="8"/>
      <c r="B240" s="16"/>
      <c r="C240" s="16"/>
      <c r="D240" s="8"/>
      <c r="E240" s="16"/>
      <c r="F240" s="8"/>
      <c r="G240" s="8"/>
      <c r="H240" s="20" t="str">
        <f aca="false">IF(A240="","",SUMIF($A$5:$A$304,A240,$D$5:$D$304))</f>
        <v/>
      </c>
    </row>
    <row r="241" customFormat="false" ht="15" hidden="false" customHeight="false" outlineLevel="0" collapsed="false">
      <c r="A241" s="8"/>
      <c r="B241" s="16"/>
      <c r="C241" s="16"/>
      <c r="D241" s="8"/>
      <c r="E241" s="16"/>
      <c r="F241" s="8"/>
      <c r="G241" s="8"/>
      <c r="H241" s="20" t="str">
        <f aca="false">IF(A241="","",SUMIF($A$5:$A$304,A241,$D$5:$D$304))</f>
        <v/>
      </c>
    </row>
    <row r="242" customFormat="false" ht="15" hidden="false" customHeight="false" outlineLevel="0" collapsed="false">
      <c r="A242" s="8"/>
      <c r="B242" s="16"/>
      <c r="C242" s="16"/>
      <c r="D242" s="8"/>
      <c r="E242" s="16"/>
      <c r="F242" s="8"/>
      <c r="G242" s="8"/>
      <c r="H242" s="20" t="str">
        <f aca="false">IF(A242="","",SUMIF($A$5:$A$304,A242,$D$5:$D$304))</f>
        <v/>
      </c>
    </row>
    <row r="243" customFormat="false" ht="15" hidden="false" customHeight="false" outlineLevel="0" collapsed="false">
      <c r="A243" s="8"/>
      <c r="B243" s="16"/>
      <c r="C243" s="16"/>
      <c r="D243" s="8"/>
      <c r="E243" s="16"/>
      <c r="F243" s="8"/>
      <c r="G243" s="8"/>
      <c r="H243" s="20" t="str">
        <f aca="false">IF(A243="","",SUMIF($A$5:$A$304,A243,$D$5:$D$304))</f>
        <v/>
      </c>
    </row>
    <row r="244" customFormat="false" ht="15" hidden="false" customHeight="false" outlineLevel="0" collapsed="false">
      <c r="A244" s="8"/>
      <c r="B244" s="16"/>
      <c r="C244" s="16"/>
      <c r="D244" s="8"/>
      <c r="E244" s="16"/>
      <c r="F244" s="8"/>
      <c r="G244" s="8"/>
      <c r="H244" s="20" t="str">
        <f aca="false">IF(A244="","",SUMIF($A$5:$A$304,A244,$D$5:$D$304))</f>
        <v/>
      </c>
    </row>
    <row r="245" customFormat="false" ht="15" hidden="false" customHeight="false" outlineLevel="0" collapsed="false">
      <c r="A245" s="8"/>
      <c r="B245" s="16"/>
      <c r="C245" s="16"/>
      <c r="D245" s="8"/>
      <c r="E245" s="16"/>
      <c r="F245" s="8"/>
      <c r="G245" s="8"/>
      <c r="H245" s="20" t="str">
        <f aca="false">IF(A245="","",SUMIF($A$5:$A$304,A245,$D$5:$D$304))</f>
        <v/>
      </c>
    </row>
    <row r="246" customFormat="false" ht="15" hidden="false" customHeight="false" outlineLevel="0" collapsed="false">
      <c r="A246" s="8"/>
      <c r="B246" s="16"/>
      <c r="C246" s="16"/>
      <c r="D246" s="8"/>
      <c r="E246" s="16"/>
      <c r="F246" s="8"/>
      <c r="G246" s="8"/>
      <c r="H246" s="20" t="str">
        <f aca="false">IF(A246="","",SUMIF($A$5:$A$304,A246,$D$5:$D$304))</f>
        <v/>
      </c>
    </row>
    <row r="247" customFormat="false" ht="15" hidden="false" customHeight="false" outlineLevel="0" collapsed="false">
      <c r="A247" s="8"/>
      <c r="B247" s="16"/>
      <c r="C247" s="16"/>
      <c r="D247" s="8"/>
      <c r="E247" s="16"/>
      <c r="F247" s="8"/>
      <c r="G247" s="8"/>
      <c r="H247" s="20" t="str">
        <f aca="false">IF(A247="","",SUMIF($A$5:$A$304,A247,$D$5:$D$304))</f>
        <v/>
      </c>
    </row>
    <row r="248" customFormat="false" ht="15" hidden="false" customHeight="false" outlineLevel="0" collapsed="false">
      <c r="A248" s="8"/>
      <c r="B248" s="16"/>
      <c r="C248" s="16"/>
      <c r="D248" s="8"/>
      <c r="E248" s="16"/>
      <c r="F248" s="8"/>
      <c r="G248" s="8"/>
      <c r="H248" s="20" t="str">
        <f aca="false">IF(A248="","",SUMIF($A$5:$A$304,A248,$D$5:$D$304))</f>
        <v/>
      </c>
    </row>
    <row r="249" customFormat="false" ht="15" hidden="false" customHeight="false" outlineLevel="0" collapsed="false">
      <c r="A249" s="8"/>
      <c r="B249" s="16"/>
      <c r="C249" s="16"/>
      <c r="D249" s="8"/>
      <c r="E249" s="16"/>
      <c r="F249" s="8"/>
      <c r="G249" s="8"/>
      <c r="H249" s="20" t="str">
        <f aca="false">IF(A249="","",SUMIF($A$5:$A$304,A249,$D$5:$D$304))</f>
        <v/>
      </c>
    </row>
    <row r="250" customFormat="false" ht="15" hidden="false" customHeight="false" outlineLevel="0" collapsed="false">
      <c r="A250" s="8"/>
      <c r="B250" s="16"/>
      <c r="C250" s="16"/>
      <c r="D250" s="8"/>
      <c r="E250" s="16"/>
      <c r="F250" s="8"/>
      <c r="G250" s="8"/>
      <c r="H250" s="20" t="str">
        <f aca="false">IF(A250="","",SUMIF($A$5:$A$304,A250,$D$5:$D$304))</f>
        <v/>
      </c>
    </row>
    <row r="251" customFormat="false" ht="15" hidden="false" customHeight="false" outlineLevel="0" collapsed="false">
      <c r="A251" s="8"/>
      <c r="B251" s="16"/>
      <c r="C251" s="16"/>
      <c r="D251" s="8"/>
      <c r="E251" s="16"/>
      <c r="F251" s="8"/>
      <c r="G251" s="8"/>
      <c r="H251" s="20" t="str">
        <f aca="false">IF(A251="","",SUMIF($A$5:$A$304,A251,$D$5:$D$304))</f>
        <v/>
      </c>
    </row>
    <row r="252" customFormat="false" ht="15" hidden="false" customHeight="false" outlineLevel="0" collapsed="false">
      <c r="A252" s="8"/>
      <c r="B252" s="16"/>
      <c r="C252" s="16"/>
      <c r="D252" s="8"/>
      <c r="E252" s="16"/>
      <c r="F252" s="8"/>
      <c r="G252" s="8"/>
      <c r="H252" s="20" t="str">
        <f aca="false">IF(A252="","",SUMIF($A$5:$A$304,A252,$D$5:$D$304))</f>
        <v/>
      </c>
    </row>
    <row r="253" customFormat="false" ht="15" hidden="false" customHeight="false" outlineLevel="0" collapsed="false">
      <c r="A253" s="8"/>
      <c r="B253" s="16"/>
      <c r="C253" s="16"/>
      <c r="D253" s="8"/>
      <c r="E253" s="16"/>
      <c r="F253" s="8"/>
      <c r="G253" s="8"/>
      <c r="H253" s="20" t="str">
        <f aca="false">IF(A253="","",SUMIF($A$5:$A$304,A253,$D$5:$D$304))</f>
        <v/>
      </c>
    </row>
    <row r="254" customFormat="false" ht="15" hidden="false" customHeight="false" outlineLevel="0" collapsed="false">
      <c r="A254" s="8"/>
      <c r="B254" s="16"/>
      <c r="C254" s="16"/>
      <c r="D254" s="8"/>
      <c r="E254" s="16"/>
      <c r="F254" s="8"/>
      <c r="G254" s="8"/>
      <c r="H254" s="20" t="str">
        <f aca="false">IF(A254="","",SUMIF($A$5:$A$304,A254,$D$5:$D$304))</f>
        <v/>
      </c>
    </row>
    <row r="255" customFormat="false" ht="15" hidden="false" customHeight="false" outlineLevel="0" collapsed="false">
      <c r="A255" s="8"/>
      <c r="B255" s="16"/>
      <c r="C255" s="16"/>
      <c r="D255" s="8"/>
      <c r="E255" s="16"/>
      <c r="F255" s="8"/>
      <c r="G255" s="8"/>
      <c r="H255" s="20" t="str">
        <f aca="false">IF(A255="","",SUMIF($A$5:$A$304,A255,$D$5:$D$304))</f>
        <v/>
      </c>
    </row>
    <row r="256" customFormat="false" ht="15" hidden="false" customHeight="false" outlineLevel="0" collapsed="false">
      <c r="A256" s="8"/>
      <c r="B256" s="16"/>
      <c r="C256" s="16"/>
      <c r="D256" s="8"/>
      <c r="E256" s="16"/>
      <c r="F256" s="8"/>
      <c r="G256" s="8"/>
      <c r="H256" s="20" t="str">
        <f aca="false">IF(A256="","",SUMIF($A$5:$A$304,A256,$D$5:$D$304))</f>
        <v/>
      </c>
    </row>
    <row r="257" customFormat="false" ht="15" hidden="false" customHeight="false" outlineLevel="0" collapsed="false">
      <c r="A257" s="8"/>
      <c r="B257" s="16"/>
      <c r="C257" s="16"/>
      <c r="D257" s="8"/>
      <c r="E257" s="16"/>
      <c r="F257" s="8"/>
      <c r="G257" s="8"/>
      <c r="H257" s="20" t="str">
        <f aca="false">IF(A257="","",SUMIF($A$5:$A$304,A257,$D$5:$D$304))</f>
        <v/>
      </c>
    </row>
    <row r="258" customFormat="false" ht="15" hidden="false" customHeight="false" outlineLevel="0" collapsed="false">
      <c r="A258" s="8"/>
      <c r="B258" s="16"/>
      <c r="C258" s="16"/>
      <c r="D258" s="8"/>
      <c r="E258" s="16"/>
      <c r="F258" s="8"/>
      <c r="G258" s="8"/>
      <c r="H258" s="20" t="str">
        <f aca="false">IF(A258="","",SUMIF($A$5:$A$304,A258,$D$5:$D$304))</f>
        <v/>
      </c>
    </row>
    <row r="259" customFormat="false" ht="15" hidden="false" customHeight="false" outlineLevel="0" collapsed="false">
      <c r="A259" s="8"/>
      <c r="B259" s="16"/>
      <c r="C259" s="16"/>
      <c r="D259" s="8"/>
      <c r="E259" s="16"/>
      <c r="F259" s="8"/>
      <c r="G259" s="8"/>
      <c r="H259" s="20" t="str">
        <f aca="false">IF(A259="","",SUMIF($A$5:$A$304,A259,$D$5:$D$304))</f>
        <v/>
      </c>
    </row>
    <row r="260" customFormat="false" ht="15" hidden="false" customHeight="false" outlineLevel="0" collapsed="false">
      <c r="A260" s="8"/>
      <c r="B260" s="16"/>
      <c r="C260" s="16"/>
      <c r="D260" s="8"/>
      <c r="E260" s="16"/>
      <c r="F260" s="8"/>
      <c r="G260" s="8"/>
      <c r="H260" s="20" t="str">
        <f aca="false">IF(A260="","",SUMIF($A$5:$A$304,A260,$D$5:$D$304))</f>
        <v/>
      </c>
    </row>
    <row r="261" customFormat="false" ht="15" hidden="false" customHeight="false" outlineLevel="0" collapsed="false">
      <c r="A261" s="8"/>
      <c r="B261" s="16"/>
      <c r="C261" s="16"/>
      <c r="D261" s="8"/>
      <c r="E261" s="16"/>
      <c r="F261" s="8"/>
      <c r="G261" s="8"/>
      <c r="H261" s="20" t="str">
        <f aca="false">IF(A261="","",SUMIF($A$5:$A$304,A261,$D$5:$D$304))</f>
        <v/>
      </c>
    </row>
    <row r="262" customFormat="false" ht="15" hidden="false" customHeight="false" outlineLevel="0" collapsed="false">
      <c r="A262" s="8"/>
      <c r="B262" s="16"/>
      <c r="C262" s="16"/>
      <c r="D262" s="8"/>
      <c r="E262" s="16"/>
      <c r="F262" s="8"/>
      <c r="G262" s="8"/>
      <c r="H262" s="20" t="str">
        <f aca="false">IF(A262="","",SUMIF($A$5:$A$304,A262,$D$5:$D$304))</f>
        <v/>
      </c>
    </row>
    <row r="263" customFormat="false" ht="15" hidden="false" customHeight="false" outlineLevel="0" collapsed="false">
      <c r="A263" s="8"/>
      <c r="B263" s="16"/>
      <c r="C263" s="16"/>
      <c r="D263" s="8"/>
      <c r="E263" s="16"/>
      <c r="F263" s="8"/>
      <c r="G263" s="8"/>
      <c r="H263" s="20" t="str">
        <f aca="false">IF(A263="","",SUMIF($A$5:$A$304,A263,$D$5:$D$304))</f>
        <v/>
      </c>
    </row>
    <row r="264" customFormat="false" ht="15" hidden="false" customHeight="false" outlineLevel="0" collapsed="false">
      <c r="A264" s="8"/>
      <c r="B264" s="16"/>
      <c r="C264" s="16"/>
      <c r="D264" s="8"/>
      <c r="E264" s="16"/>
      <c r="F264" s="8"/>
      <c r="G264" s="8"/>
      <c r="H264" s="20" t="str">
        <f aca="false">IF(A264="","",SUMIF($A$5:$A$304,A264,$D$5:$D$304))</f>
        <v/>
      </c>
    </row>
    <row r="265" customFormat="false" ht="15" hidden="false" customHeight="false" outlineLevel="0" collapsed="false">
      <c r="A265" s="8"/>
      <c r="B265" s="16"/>
      <c r="C265" s="16"/>
      <c r="D265" s="8"/>
      <c r="E265" s="16"/>
      <c r="F265" s="8"/>
      <c r="G265" s="8"/>
      <c r="H265" s="20" t="str">
        <f aca="false">IF(A265="","",SUMIF($A$5:$A$304,A265,$D$5:$D$304))</f>
        <v/>
      </c>
    </row>
    <row r="266" customFormat="false" ht="15" hidden="false" customHeight="false" outlineLevel="0" collapsed="false">
      <c r="A266" s="8"/>
      <c r="B266" s="16"/>
      <c r="C266" s="16"/>
      <c r="D266" s="8"/>
      <c r="E266" s="16"/>
      <c r="F266" s="8"/>
      <c r="G266" s="8"/>
      <c r="H266" s="20" t="str">
        <f aca="false">IF(A266="","",SUMIF($A$5:$A$304,A266,$D$5:$D$304))</f>
        <v/>
      </c>
    </row>
    <row r="267" customFormat="false" ht="15" hidden="false" customHeight="false" outlineLevel="0" collapsed="false">
      <c r="A267" s="8"/>
      <c r="B267" s="16"/>
      <c r="C267" s="16"/>
      <c r="D267" s="8"/>
      <c r="E267" s="16"/>
      <c r="F267" s="8"/>
      <c r="G267" s="8"/>
      <c r="H267" s="20" t="str">
        <f aca="false">IF(A267="","",SUMIF($A$5:$A$304,A267,$D$5:$D$304))</f>
        <v/>
      </c>
    </row>
    <row r="268" customFormat="false" ht="15" hidden="false" customHeight="false" outlineLevel="0" collapsed="false">
      <c r="A268" s="8"/>
      <c r="B268" s="16"/>
      <c r="C268" s="16"/>
      <c r="D268" s="8"/>
      <c r="E268" s="16"/>
      <c r="F268" s="8"/>
      <c r="G268" s="8"/>
      <c r="H268" s="20" t="str">
        <f aca="false">IF(A268="","",SUMIF($A$5:$A$304,A268,$D$5:$D$304))</f>
        <v/>
      </c>
    </row>
    <row r="269" customFormat="false" ht="15" hidden="false" customHeight="false" outlineLevel="0" collapsed="false">
      <c r="A269" s="8"/>
      <c r="B269" s="16"/>
      <c r="C269" s="16"/>
      <c r="D269" s="8"/>
      <c r="E269" s="16"/>
      <c r="F269" s="8"/>
      <c r="G269" s="8"/>
      <c r="H269" s="20" t="str">
        <f aca="false">IF(A269="","",SUMIF($A$5:$A$304,A269,$D$5:$D$304))</f>
        <v/>
      </c>
    </row>
    <row r="270" customFormat="false" ht="15" hidden="false" customHeight="false" outlineLevel="0" collapsed="false">
      <c r="A270" s="8"/>
      <c r="B270" s="16"/>
      <c r="C270" s="16"/>
      <c r="D270" s="8"/>
      <c r="E270" s="16"/>
      <c r="F270" s="8"/>
      <c r="G270" s="8"/>
      <c r="H270" s="20" t="str">
        <f aca="false">IF(A270="","",SUMIF($A$5:$A$304,A270,$D$5:$D$304))</f>
        <v/>
      </c>
    </row>
    <row r="271" customFormat="false" ht="15" hidden="false" customHeight="false" outlineLevel="0" collapsed="false">
      <c r="A271" s="8"/>
      <c r="B271" s="16"/>
      <c r="C271" s="16"/>
      <c r="D271" s="8"/>
      <c r="E271" s="16"/>
      <c r="F271" s="8"/>
      <c r="G271" s="8"/>
      <c r="H271" s="20" t="str">
        <f aca="false">IF(A271="","",SUMIF($A$5:$A$304,A271,$D$5:$D$304))</f>
        <v/>
      </c>
    </row>
    <row r="272" customFormat="false" ht="15" hidden="false" customHeight="false" outlineLevel="0" collapsed="false">
      <c r="A272" s="8"/>
      <c r="B272" s="16"/>
      <c r="C272" s="16"/>
      <c r="D272" s="8"/>
      <c r="E272" s="16"/>
      <c r="F272" s="8"/>
      <c r="G272" s="8"/>
      <c r="H272" s="20" t="str">
        <f aca="false">IF(A272="","",SUMIF($A$5:$A$304,A272,$D$5:$D$304))</f>
        <v/>
      </c>
    </row>
    <row r="273" customFormat="false" ht="15" hidden="false" customHeight="false" outlineLevel="0" collapsed="false">
      <c r="A273" s="8"/>
      <c r="B273" s="16"/>
      <c r="C273" s="16"/>
      <c r="D273" s="8"/>
      <c r="E273" s="16"/>
      <c r="F273" s="8"/>
      <c r="G273" s="8"/>
      <c r="H273" s="20" t="str">
        <f aca="false">IF(A273="","",SUMIF($A$5:$A$304,A273,$D$5:$D$304))</f>
        <v/>
      </c>
    </row>
    <row r="274" customFormat="false" ht="15" hidden="false" customHeight="false" outlineLevel="0" collapsed="false">
      <c r="A274" s="8"/>
      <c r="B274" s="16"/>
      <c r="C274" s="16"/>
      <c r="D274" s="8"/>
      <c r="E274" s="16"/>
      <c r="F274" s="8"/>
      <c r="G274" s="8"/>
      <c r="H274" s="20" t="str">
        <f aca="false">IF(A274="","",SUMIF($A$5:$A$304,A274,$D$5:$D$304))</f>
        <v/>
      </c>
    </row>
    <row r="275" customFormat="false" ht="15" hidden="false" customHeight="false" outlineLevel="0" collapsed="false">
      <c r="A275" s="8"/>
      <c r="B275" s="16"/>
      <c r="C275" s="16"/>
      <c r="D275" s="8"/>
      <c r="E275" s="16"/>
      <c r="F275" s="8"/>
      <c r="G275" s="8"/>
      <c r="H275" s="20" t="str">
        <f aca="false">IF(A275="","",SUMIF($A$5:$A$304,A275,$D$5:$D$304))</f>
        <v/>
      </c>
    </row>
    <row r="276" customFormat="false" ht="15" hidden="false" customHeight="false" outlineLevel="0" collapsed="false">
      <c r="A276" s="8"/>
      <c r="B276" s="16"/>
      <c r="C276" s="16"/>
      <c r="D276" s="8"/>
      <c r="E276" s="16"/>
      <c r="F276" s="8"/>
      <c r="G276" s="8"/>
      <c r="H276" s="20" t="str">
        <f aca="false">IF(A276="","",SUMIF($A$5:$A$304,A276,$D$5:$D$304))</f>
        <v/>
      </c>
    </row>
    <row r="277" customFormat="false" ht="15" hidden="false" customHeight="false" outlineLevel="0" collapsed="false">
      <c r="A277" s="8"/>
      <c r="B277" s="16"/>
      <c r="C277" s="16"/>
      <c r="D277" s="8"/>
      <c r="E277" s="16"/>
      <c r="F277" s="8"/>
      <c r="G277" s="8"/>
      <c r="H277" s="20" t="str">
        <f aca="false">IF(A277="","",SUMIF($A$5:$A$304,A277,$D$5:$D$304))</f>
        <v/>
      </c>
    </row>
    <row r="278" customFormat="false" ht="15" hidden="false" customHeight="false" outlineLevel="0" collapsed="false">
      <c r="A278" s="8"/>
      <c r="B278" s="16"/>
      <c r="C278" s="16"/>
      <c r="D278" s="8"/>
      <c r="E278" s="16"/>
      <c r="F278" s="8"/>
      <c r="G278" s="8"/>
      <c r="H278" s="20" t="str">
        <f aca="false">IF(A278="","",SUMIF($A$5:$A$304,A278,$D$5:$D$304))</f>
        <v/>
      </c>
    </row>
    <row r="279" customFormat="false" ht="15" hidden="false" customHeight="false" outlineLevel="0" collapsed="false">
      <c r="A279" s="8"/>
      <c r="B279" s="16"/>
      <c r="C279" s="16"/>
      <c r="D279" s="8"/>
      <c r="E279" s="16"/>
      <c r="F279" s="8"/>
      <c r="G279" s="8"/>
      <c r="H279" s="20" t="str">
        <f aca="false">IF(A279="","",SUMIF($A$5:$A$304,A279,$D$5:$D$304))</f>
        <v/>
      </c>
    </row>
    <row r="280" customFormat="false" ht="15" hidden="false" customHeight="false" outlineLevel="0" collapsed="false">
      <c r="A280" s="8"/>
      <c r="B280" s="16"/>
      <c r="C280" s="16"/>
      <c r="D280" s="8"/>
      <c r="E280" s="16"/>
      <c r="F280" s="8"/>
      <c r="G280" s="8"/>
      <c r="H280" s="20" t="str">
        <f aca="false">IF(A280="","",SUMIF($A$5:$A$304,A280,$D$5:$D$304))</f>
        <v/>
      </c>
    </row>
    <row r="281" customFormat="false" ht="15" hidden="false" customHeight="false" outlineLevel="0" collapsed="false">
      <c r="A281" s="8"/>
      <c r="B281" s="16"/>
      <c r="C281" s="16"/>
      <c r="D281" s="8"/>
      <c r="E281" s="16"/>
      <c r="F281" s="8"/>
      <c r="G281" s="8"/>
      <c r="H281" s="20" t="str">
        <f aca="false">IF(A281="","",SUMIF($A$5:$A$304,A281,$D$5:$D$304))</f>
        <v/>
      </c>
    </row>
    <row r="282" customFormat="false" ht="15" hidden="false" customHeight="false" outlineLevel="0" collapsed="false">
      <c r="A282" s="8"/>
      <c r="B282" s="16"/>
      <c r="C282" s="16"/>
      <c r="D282" s="8"/>
      <c r="E282" s="16"/>
      <c r="F282" s="8"/>
      <c r="G282" s="8"/>
      <c r="H282" s="20" t="str">
        <f aca="false">IF(A282="","",SUMIF($A$5:$A$304,A282,$D$5:$D$304))</f>
        <v/>
      </c>
    </row>
    <row r="283" customFormat="false" ht="15" hidden="false" customHeight="false" outlineLevel="0" collapsed="false">
      <c r="A283" s="8"/>
      <c r="B283" s="16"/>
      <c r="C283" s="16"/>
      <c r="D283" s="8"/>
      <c r="E283" s="16"/>
      <c r="F283" s="8"/>
      <c r="G283" s="8"/>
      <c r="H283" s="20" t="str">
        <f aca="false">IF(A283="","",SUMIF($A$5:$A$304,A283,$D$5:$D$304))</f>
        <v/>
      </c>
    </row>
    <row r="284" customFormat="false" ht="15" hidden="false" customHeight="false" outlineLevel="0" collapsed="false">
      <c r="A284" s="8"/>
      <c r="B284" s="16"/>
      <c r="C284" s="16"/>
      <c r="D284" s="8"/>
      <c r="E284" s="16"/>
      <c r="F284" s="8"/>
      <c r="G284" s="8"/>
      <c r="H284" s="20" t="str">
        <f aca="false">IF(A284="","",SUMIF($A$5:$A$304,A284,$D$5:$D$304))</f>
        <v/>
      </c>
    </row>
    <row r="285" customFormat="false" ht="15" hidden="false" customHeight="false" outlineLevel="0" collapsed="false">
      <c r="A285" s="8"/>
      <c r="B285" s="16"/>
      <c r="C285" s="16"/>
      <c r="D285" s="8"/>
      <c r="E285" s="16"/>
      <c r="F285" s="8"/>
      <c r="G285" s="8"/>
      <c r="H285" s="20" t="str">
        <f aca="false">IF(A285="","",SUMIF($A$5:$A$304,A285,$D$5:$D$304))</f>
        <v/>
      </c>
    </row>
    <row r="286" customFormat="false" ht="15" hidden="false" customHeight="false" outlineLevel="0" collapsed="false">
      <c r="A286" s="8"/>
      <c r="B286" s="16"/>
      <c r="C286" s="16"/>
      <c r="D286" s="8"/>
      <c r="E286" s="16"/>
      <c r="F286" s="8"/>
      <c r="G286" s="8"/>
      <c r="H286" s="20" t="str">
        <f aca="false">IF(A286="","",SUMIF($A$5:$A$304,A286,$D$5:$D$304))</f>
        <v/>
      </c>
    </row>
    <row r="287" customFormat="false" ht="15" hidden="false" customHeight="false" outlineLevel="0" collapsed="false">
      <c r="A287" s="8"/>
      <c r="B287" s="16"/>
      <c r="C287" s="16"/>
      <c r="D287" s="8"/>
      <c r="E287" s="16"/>
      <c r="F287" s="8"/>
      <c r="G287" s="8"/>
      <c r="H287" s="20" t="str">
        <f aca="false">IF(A287="","",SUMIF($A$5:$A$304,A287,$D$5:$D$304))</f>
        <v/>
      </c>
    </row>
    <row r="288" customFormat="false" ht="15" hidden="false" customHeight="false" outlineLevel="0" collapsed="false">
      <c r="A288" s="8"/>
      <c r="B288" s="16"/>
      <c r="C288" s="16"/>
      <c r="D288" s="8"/>
      <c r="E288" s="16"/>
      <c r="F288" s="8"/>
      <c r="G288" s="8"/>
      <c r="H288" s="20" t="str">
        <f aca="false">IF(A288="","",SUMIF($A$5:$A$304,A288,$D$5:$D$304))</f>
        <v/>
      </c>
    </row>
    <row r="289" customFormat="false" ht="15" hidden="false" customHeight="false" outlineLevel="0" collapsed="false">
      <c r="A289" s="8"/>
      <c r="B289" s="16"/>
      <c r="C289" s="16"/>
      <c r="D289" s="8"/>
      <c r="E289" s="16"/>
      <c r="F289" s="8"/>
      <c r="G289" s="8"/>
      <c r="H289" s="20" t="str">
        <f aca="false">IF(A289="","",SUMIF($A$5:$A$304,A289,$D$5:$D$304))</f>
        <v/>
      </c>
    </row>
    <row r="290" customFormat="false" ht="15" hidden="false" customHeight="false" outlineLevel="0" collapsed="false">
      <c r="A290" s="8"/>
      <c r="B290" s="16"/>
      <c r="C290" s="16"/>
      <c r="D290" s="8"/>
      <c r="E290" s="16"/>
      <c r="F290" s="8"/>
      <c r="G290" s="8"/>
      <c r="H290" s="20" t="str">
        <f aca="false">IF(A290="","",SUMIF($A$5:$A$304,A290,$D$5:$D$304))</f>
        <v/>
      </c>
    </row>
    <row r="291" customFormat="false" ht="15" hidden="false" customHeight="false" outlineLevel="0" collapsed="false">
      <c r="A291" s="8"/>
      <c r="B291" s="16"/>
      <c r="C291" s="16"/>
      <c r="D291" s="8"/>
      <c r="E291" s="16"/>
      <c r="F291" s="8"/>
      <c r="G291" s="8"/>
      <c r="H291" s="20" t="str">
        <f aca="false">IF(A291="","",SUMIF($A$5:$A$304,A291,$D$5:$D$304))</f>
        <v/>
      </c>
    </row>
    <row r="292" customFormat="false" ht="15" hidden="false" customHeight="false" outlineLevel="0" collapsed="false">
      <c r="A292" s="8"/>
      <c r="B292" s="16"/>
      <c r="C292" s="16"/>
      <c r="D292" s="8"/>
      <c r="E292" s="16"/>
      <c r="F292" s="8"/>
      <c r="G292" s="8"/>
      <c r="H292" s="20" t="str">
        <f aca="false">IF(A292="","",SUMIF($A$5:$A$304,A292,$D$5:$D$304))</f>
        <v/>
      </c>
    </row>
    <row r="293" customFormat="false" ht="15" hidden="false" customHeight="false" outlineLevel="0" collapsed="false">
      <c r="A293" s="8"/>
      <c r="B293" s="16"/>
      <c r="C293" s="16"/>
      <c r="D293" s="8"/>
      <c r="E293" s="16"/>
      <c r="F293" s="8"/>
      <c r="G293" s="8"/>
      <c r="H293" s="20" t="str">
        <f aca="false">IF(A293="","",SUMIF($A$5:$A$304,A293,$D$5:$D$304))</f>
        <v/>
      </c>
    </row>
    <row r="294" customFormat="false" ht="15" hidden="false" customHeight="false" outlineLevel="0" collapsed="false">
      <c r="A294" s="8"/>
      <c r="B294" s="16"/>
      <c r="C294" s="16"/>
      <c r="D294" s="8"/>
      <c r="E294" s="16"/>
      <c r="F294" s="8"/>
      <c r="G294" s="8"/>
      <c r="H294" s="20" t="str">
        <f aca="false">IF(A294="","",SUMIF($A$5:$A$304,A294,$D$5:$D$304))</f>
        <v/>
      </c>
    </row>
    <row r="295" customFormat="false" ht="15" hidden="false" customHeight="false" outlineLevel="0" collapsed="false">
      <c r="A295" s="8"/>
      <c r="B295" s="16"/>
      <c r="C295" s="16"/>
      <c r="D295" s="8"/>
      <c r="E295" s="16"/>
      <c r="F295" s="8"/>
      <c r="G295" s="8"/>
      <c r="H295" s="20" t="str">
        <f aca="false">IF(A295="","",SUMIF($A$5:$A$304,A295,$D$5:$D$304))</f>
        <v/>
      </c>
    </row>
    <row r="296" customFormat="false" ht="15" hidden="false" customHeight="false" outlineLevel="0" collapsed="false">
      <c r="A296" s="8"/>
      <c r="B296" s="16"/>
      <c r="C296" s="16"/>
      <c r="D296" s="8"/>
      <c r="E296" s="16"/>
      <c r="F296" s="8"/>
      <c r="G296" s="8"/>
      <c r="H296" s="20" t="str">
        <f aca="false">IF(A296="","",SUMIF($A$5:$A$304,A296,$D$5:$D$304))</f>
        <v/>
      </c>
    </row>
    <row r="297" customFormat="false" ht="15" hidden="false" customHeight="false" outlineLevel="0" collapsed="false">
      <c r="A297" s="8"/>
      <c r="B297" s="16"/>
      <c r="C297" s="16"/>
      <c r="D297" s="8"/>
      <c r="E297" s="16"/>
      <c r="F297" s="8"/>
      <c r="G297" s="8"/>
      <c r="H297" s="20" t="str">
        <f aca="false">IF(A297="","",SUMIF($A$5:$A$304,A297,$D$5:$D$304))</f>
        <v/>
      </c>
    </row>
    <row r="298" customFormat="false" ht="15" hidden="false" customHeight="false" outlineLevel="0" collapsed="false">
      <c r="A298" s="8"/>
      <c r="B298" s="16"/>
      <c r="C298" s="16"/>
      <c r="D298" s="8"/>
      <c r="E298" s="16"/>
      <c r="F298" s="8"/>
      <c r="G298" s="8"/>
      <c r="H298" s="20" t="str">
        <f aca="false">IF(A298="","",SUMIF($A$5:$A$304,A298,$D$5:$D$304))</f>
        <v/>
      </c>
    </row>
    <row r="299" customFormat="false" ht="15" hidden="false" customHeight="false" outlineLevel="0" collapsed="false">
      <c r="A299" s="8"/>
      <c r="B299" s="16"/>
      <c r="C299" s="16"/>
      <c r="D299" s="8"/>
      <c r="E299" s="16"/>
      <c r="F299" s="8"/>
      <c r="G299" s="8"/>
      <c r="H299" s="20" t="str">
        <f aca="false">IF(A299="","",SUMIF($A$5:$A$304,A299,$D$5:$D$304))</f>
        <v/>
      </c>
    </row>
    <row r="300" customFormat="false" ht="15" hidden="false" customHeight="false" outlineLevel="0" collapsed="false">
      <c r="A300" s="8"/>
      <c r="B300" s="16"/>
      <c r="C300" s="16"/>
      <c r="D300" s="8"/>
      <c r="E300" s="16"/>
      <c r="F300" s="8"/>
      <c r="G300" s="8"/>
      <c r="H300" s="20" t="str">
        <f aca="false">IF(A300="","",SUMIF($A$5:$A$304,A300,$D$5:$D$304))</f>
        <v/>
      </c>
    </row>
    <row r="301" customFormat="false" ht="15" hidden="false" customHeight="false" outlineLevel="0" collapsed="false">
      <c r="A301" s="8"/>
      <c r="B301" s="16"/>
      <c r="C301" s="16"/>
      <c r="D301" s="8"/>
      <c r="E301" s="16"/>
      <c r="F301" s="8"/>
      <c r="G301" s="8"/>
      <c r="H301" s="20" t="str">
        <f aca="false">IF(A301="","",SUMIF($A$5:$A$304,A301,$D$5:$D$304))</f>
        <v/>
      </c>
    </row>
    <row r="302" customFormat="false" ht="15" hidden="false" customHeight="false" outlineLevel="0" collapsed="false">
      <c r="A302" s="8"/>
      <c r="B302" s="16"/>
      <c r="C302" s="16"/>
      <c r="D302" s="8"/>
      <c r="E302" s="16"/>
      <c r="F302" s="8"/>
      <c r="G302" s="8"/>
      <c r="H302" s="20" t="str">
        <f aca="false">IF(A302="","",SUMIF($A$5:$A$304,A302,$D$5:$D$304))</f>
        <v/>
      </c>
    </row>
    <row r="303" customFormat="false" ht="15" hidden="false" customHeight="false" outlineLevel="0" collapsed="false">
      <c r="A303" s="8"/>
      <c r="B303" s="16"/>
      <c r="C303" s="16"/>
      <c r="D303" s="8"/>
      <c r="E303" s="16"/>
      <c r="F303" s="8"/>
      <c r="G303" s="8"/>
      <c r="H303" s="20" t="str">
        <f aca="false">IF(A303="","",SUMIF($A$5:$A$304,A303,$D$5:$D$304))</f>
        <v/>
      </c>
    </row>
    <row r="304" customFormat="false" ht="15" hidden="false" customHeight="false" outlineLevel="0" collapsed="false">
      <c r="A304" s="8"/>
      <c r="B304" s="16"/>
      <c r="C304" s="16"/>
      <c r="D304" s="8"/>
      <c r="E304" s="16"/>
      <c r="F304" s="8"/>
      <c r="G304" s="8"/>
      <c r="H304" s="20" t="str">
        <f aca="false">IF(A304="","",SUMIF($A$5:$A$304,A304,$D$5:$D$304))</f>
        <v/>
      </c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B5:B304" type="list">
      <formula1>選項!$A$2:$A$13</formula1>
      <formula2>0</formula2>
    </dataValidation>
    <dataValidation allowBlank="true" errorStyle="stop" operator="between" showDropDown="false" showErrorMessage="false" showInputMessage="false" sqref="C5:C304" type="list">
      <formula1>選項!$B$2:$B$72</formula1>
      <formula2>0</formula2>
    </dataValidation>
    <dataValidation allowBlank="true" errorStyle="stop" operator="between" showDropDown="false" showErrorMessage="false" showInputMessage="false" sqref="E5:E304" type="list">
      <formula1>選項!$J$2:$J$7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27.75" hidden="false" customHeight="true" outlineLevel="0" collapsed="false">
      <c r="A1" s="12" t="s">
        <v>157</v>
      </c>
      <c r="B1" s="12"/>
      <c r="C1" s="12"/>
      <c r="D1" s="12"/>
      <c r="E1" s="12"/>
      <c r="F1" s="12"/>
      <c r="G1" s="12"/>
    </row>
    <row r="2" customFormat="false" ht="36" hidden="false" customHeight="true" outlineLevel="0" collapsed="false">
      <c r="A2" s="13" t="s">
        <v>158</v>
      </c>
      <c r="B2" s="13"/>
      <c r="C2" s="13"/>
      <c r="D2" s="13"/>
      <c r="E2" s="13"/>
      <c r="F2" s="13"/>
      <c r="G2" s="13"/>
    </row>
    <row r="3" customFormat="false" ht="17.15" hidden="false" customHeight="false" outlineLevel="0" collapsed="false">
      <c r="A3" s="3" t="s">
        <v>147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149</v>
      </c>
      <c r="G3" s="3" t="s">
        <v>151</v>
      </c>
    </row>
    <row r="4" customFormat="false" ht="15" hidden="false" customHeight="false" outlineLevel="0" collapsed="false">
      <c r="A4" s="19" t="s">
        <v>154</v>
      </c>
      <c r="B4" s="18" t="s">
        <v>163</v>
      </c>
      <c r="C4" s="19" t="s">
        <v>13</v>
      </c>
      <c r="D4" s="18" t="s">
        <v>164</v>
      </c>
      <c r="E4" s="18" t="s">
        <v>165</v>
      </c>
      <c r="F4" s="18" t="s">
        <v>166</v>
      </c>
      <c r="G4" s="18"/>
    </row>
    <row r="5" customFormat="false" ht="15" hidden="false" customHeight="false" outlineLevel="0" collapsed="false">
      <c r="A5" s="16"/>
      <c r="B5" s="16"/>
      <c r="C5" s="16"/>
      <c r="D5" s="16"/>
      <c r="E5" s="8"/>
      <c r="F5" s="8"/>
      <c r="G5" s="8"/>
    </row>
    <row r="6" customFormat="false" ht="15" hidden="false" customHeight="false" outlineLevel="0" collapsed="false">
      <c r="A6" s="16"/>
      <c r="B6" s="16"/>
      <c r="C6" s="16"/>
      <c r="D6" s="16"/>
      <c r="E6" s="8"/>
      <c r="F6" s="8"/>
      <c r="G6" s="8"/>
    </row>
    <row r="7" customFormat="false" ht="15" hidden="false" customHeight="false" outlineLevel="0" collapsed="false">
      <c r="A7" s="16"/>
      <c r="B7" s="16"/>
      <c r="C7" s="16"/>
      <c r="D7" s="16"/>
      <c r="E7" s="8"/>
      <c r="F7" s="8"/>
      <c r="G7" s="8"/>
    </row>
    <row r="8" customFormat="false" ht="15" hidden="false" customHeight="false" outlineLevel="0" collapsed="false">
      <c r="A8" s="16"/>
      <c r="B8" s="16"/>
      <c r="C8" s="16"/>
      <c r="D8" s="16"/>
      <c r="E8" s="8"/>
      <c r="F8" s="8"/>
      <c r="G8" s="8"/>
    </row>
    <row r="9" customFormat="false" ht="15" hidden="false" customHeight="false" outlineLevel="0" collapsed="false">
      <c r="A9" s="16"/>
      <c r="B9" s="16"/>
      <c r="C9" s="16"/>
      <c r="D9" s="16"/>
      <c r="E9" s="8"/>
      <c r="F9" s="8"/>
      <c r="G9" s="8"/>
    </row>
    <row r="10" customFormat="false" ht="15" hidden="false" customHeight="false" outlineLevel="0" collapsed="false">
      <c r="A10" s="16"/>
      <c r="B10" s="16"/>
      <c r="C10" s="16"/>
      <c r="D10" s="16"/>
      <c r="E10" s="8"/>
      <c r="F10" s="8"/>
      <c r="G10" s="8"/>
    </row>
    <row r="11" customFormat="false" ht="15" hidden="false" customHeight="false" outlineLevel="0" collapsed="false">
      <c r="A11" s="16"/>
      <c r="B11" s="16"/>
      <c r="C11" s="16"/>
      <c r="D11" s="16"/>
      <c r="E11" s="8"/>
      <c r="F11" s="8"/>
      <c r="G11" s="8"/>
    </row>
    <row r="12" customFormat="false" ht="15" hidden="false" customHeight="false" outlineLevel="0" collapsed="false">
      <c r="A12" s="16"/>
      <c r="B12" s="16"/>
      <c r="C12" s="16"/>
      <c r="D12" s="16"/>
      <c r="E12" s="8"/>
      <c r="F12" s="8"/>
      <c r="G12" s="8"/>
    </row>
    <row r="13" customFormat="false" ht="15" hidden="false" customHeight="false" outlineLevel="0" collapsed="false">
      <c r="A13" s="16"/>
      <c r="B13" s="16"/>
      <c r="C13" s="16"/>
      <c r="D13" s="16"/>
      <c r="E13" s="8"/>
      <c r="F13" s="8"/>
      <c r="G13" s="8"/>
    </row>
    <row r="14" customFormat="false" ht="15" hidden="false" customHeight="false" outlineLevel="0" collapsed="false">
      <c r="A14" s="16"/>
      <c r="B14" s="16"/>
      <c r="C14" s="16"/>
      <c r="D14" s="16"/>
      <c r="E14" s="8"/>
      <c r="F14" s="8"/>
      <c r="G14" s="8"/>
    </row>
    <row r="15" customFormat="false" ht="15" hidden="false" customHeight="false" outlineLevel="0" collapsed="false">
      <c r="A15" s="16"/>
      <c r="B15" s="16"/>
      <c r="C15" s="16"/>
      <c r="D15" s="16"/>
      <c r="E15" s="8"/>
      <c r="F15" s="8"/>
      <c r="G15" s="8"/>
    </row>
    <row r="16" customFormat="false" ht="15" hidden="false" customHeight="false" outlineLevel="0" collapsed="false">
      <c r="A16" s="16"/>
      <c r="B16" s="16"/>
      <c r="C16" s="16"/>
      <c r="D16" s="16"/>
      <c r="E16" s="8"/>
      <c r="F16" s="8"/>
      <c r="G16" s="8"/>
    </row>
    <row r="17" customFormat="false" ht="15" hidden="false" customHeight="false" outlineLevel="0" collapsed="false">
      <c r="A17" s="16"/>
      <c r="B17" s="16"/>
      <c r="C17" s="16"/>
      <c r="D17" s="16"/>
      <c r="E17" s="8"/>
      <c r="F17" s="8"/>
      <c r="G17" s="8"/>
    </row>
    <row r="18" customFormat="false" ht="15" hidden="false" customHeight="false" outlineLevel="0" collapsed="false">
      <c r="A18" s="16"/>
      <c r="B18" s="16"/>
      <c r="C18" s="16"/>
      <c r="D18" s="16"/>
      <c r="E18" s="8"/>
      <c r="F18" s="8"/>
      <c r="G18" s="8"/>
    </row>
    <row r="19" customFormat="false" ht="15" hidden="false" customHeight="false" outlineLevel="0" collapsed="false">
      <c r="A19" s="16"/>
      <c r="B19" s="16"/>
      <c r="C19" s="16"/>
      <c r="D19" s="16"/>
      <c r="E19" s="8"/>
      <c r="F19" s="8"/>
      <c r="G19" s="8"/>
    </row>
    <row r="20" customFormat="false" ht="15" hidden="false" customHeight="false" outlineLevel="0" collapsed="false">
      <c r="A20" s="16"/>
      <c r="B20" s="16"/>
      <c r="C20" s="16"/>
      <c r="D20" s="16"/>
      <c r="E20" s="8"/>
      <c r="F20" s="8"/>
      <c r="G20" s="8"/>
    </row>
    <row r="21" customFormat="false" ht="15" hidden="false" customHeight="false" outlineLevel="0" collapsed="false">
      <c r="A21" s="16"/>
      <c r="B21" s="16"/>
      <c r="C21" s="16"/>
      <c r="D21" s="16"/>
      <c r="E21" s="8"/>
      <c r="F21" s="8"/>
      <c r="G21" s="8"/>
    </row>
    <row r="22" customFormat="false" ht="15" hidden="false" customHeight="false" outlineLevel="0" collapsed="false">
      <c r="A22" s="16"/>
      <c r="B22" s="16"/>
      <c r="C22" s="16"/>
      <c r="D22" s="16"/>
      <c r="E22" s="8"/>
      <c r="F22" s="8"/>
      <c r="G22" s="8"/>
    </row>
    <row r="23" customFormat="false" ht="15" hidden="false" customHeight="false" outlineLevel="0" collapsed="false">
      <c r="A23" s="16"/>
      <c r="B23" s="16"/>
      <c r="C23" s="16"/>
      <c r="D23" s="16"/>
      <c r="E23" s="8"/>
      <c r="F23" s="8"/>
      <c r="G23" s="8"/>
    </row>
    <row r="24" customFormat="false" ht="15" hidden="false" customHeight="false" outlineLevel="0" collapsed="false">
      <c r="A24" s="16"/>
      <c r="B24" s="16"/>
      <c r="C24" s="16"/>
      <c r="D24" s="16"/>
      <c r="E24" s="8"/>
      <c r="F24" s="8"/>
      <c r="G24" s="8"/>
    </row>
    <row r="25" customFormat="false" ht="15" hidden="false" customHeight="false" outlineLevel="0" collapsed="false">
      <c r="A25" s="16"/>
      <c r="B25" s="16"/>
      <c r="C25" s="16"/>
      <c r="D25" s="16"/>
      <c r="E25" s="8"/>
      <c r="F25" s="8"/>
      <c r="G25" s="8"/>
    </row>
    <row r="26" customFormat="false" ht="15" hidden="false" customHeight="false" outlineLevel="0" collapsed="false">
      <c r="A26" s="16"/>
      <c r="B26" s="16"/>
      <c r="C26" s="16"/>
      <c r="D26" s="16"/>
      <c r="E26" s="8"/>
      <c r="F26" s="8"/>
      <c r="G26" s="8"/>
    </row>
    <row r="27" customFormat="false" ht="15" hidden="false" customHeight="false" outlineLevel="0" collapsed="false">
      <c r="A27" s="16"/>
      <c r="B27" s="16"/>
      <c r="C27" s="16"/>
      <c r="D27" s="16"/>
      <c r="E27" s="8"/>
      <c r="F27" s="8"/>
      <c r="G27" s="8"/>
    </row>
    <row r="28" customFormat="false" ht="15" hidden="false" customHeight="false" outlineLevel="0" collapsed="false">
      <c r="A28" s="16"/>
      <c r="B28" s="16"/>
      <c r="C28" s="16"/>
      <c r="D28" s="16"/>
      <c r="E28" s="8"/>
      <c r="F28" s="8"/>
      <c r="G28" s="8"/>
    </row>
    <row r="29" customFormat="false" ht="15" hidden="false" customHeight="false" outlineLevel="0" collapsed="false">
      <c r="A29" s="16"/>
      <c r="B29" s="16"/>
      <c r="C29" s="16"/>
      <c r="D29" s="16"/>
      <c r="E29" s="8"/>
      <c r="F29" s="8"/>
      <c r="G29" s="8"/>
    </row>
    <row r="30" customFormat="false" ht="15" hidden="false" customHeight="false" outlineLevel="0" collapsed="false">
      <c r="A30" s="16"/>
      <c r="B30" s="16"/>
      <c r="C30" s="16"/>
      <c r="D30" s="16"/>
      <c r="E30" s="8"/>
      <c r="F30" s="8"/>
      <c r="G30" s="8"/>
    </row>
    <row r="31" customFormat="false" ht="15" hidden="false" customHeight="false" outlineLevel="0" collapsed="false">
      <c r="A31" s="16"/>
      <c r="B31" s="16"/>
      <c r="C31" s="16"/>
      <c r="D31" s="16"/>
      <c r="E31" s="8"/>
      <c r="F31" s="8"/>
      <c r="G31" s="8"/>
    </row>
    <row r="32" customFormat="false" ht="15" hidden="false" customHeight="false" outlineLevel="0" collapsed="false">
      <c r="A32" s="16"/>
      <c r="B32" s="16"/>
      <c r="C32" s="16"/>
      <c r="D32" s="16"/>
      <c r="E32" s="8"/>
      <c r="F32" s="8"/>
      <c r="G32" s="8"/>
    </row>
    <row r="33" customFormat="false" ht="15" hidden="false" customHeight="false" outlineLevel="0" collapsed="false">
      <c r="A33" s="16"/>
      <c r="B33" s="16"/>
      <c r="C33" s="16"/>
      <c r="D33" s="16"/>
      <c r="E33" s="8"/>
      <c r="F33" s="8"/>
      <c r="G33" s="8"/>
    </row>
    <row r="34" customFormat="false" ht="15" hidden="false" customHeight="false" outlineLevel="0" collapsed="false">
      <c r="A34" s="16"/>
      <c r="B34" s="16"/>
      <c r="C34" s="16"/>
      <c r="D34" s="16"/>
      <c r="E34" s="8"/>
      <c r="F34" s="8"/>
      <c r="G34" s="8"/>
    </row>
    <row r="35" customFormat="false" ht="15" hidden="false" customHeight="false" outlineLevel="0" collapsed="false">
      <c r="A35" s="16"/>
      <c r="B35" s="16"/>
      <c r="C35" s="16"/>
      <c r="D35" s="16"/>
      <c r="E35" s="8"/>
      <c r="F35" s="8"/>
      <c r="G35" s="8"/>
    </row>
    <row r="36" customFormat="false" ht="15" hidden="false" customHeight="false" outlineLevel="0" collapsed="false">
      <c r="A36" s="16"/>
      <c r="B36" s="16"/>
      <c r="C36" s="16"/>
      <c r="D36" s="16"/>
      <c r="E36" s="8"/>
      <c r="F36" s="8"/>
      <c r="G36" s="8"/>
    </row>
    <row r="37" customFormat="false" ht="15" hidden="false" customHeight="false" outlineLevel="0" collapsed="false">
      <c r="A37" s="16"/>
      <c r="B37" s="16"/>
      <c r="C37" s="16"/>
      <c r="D37" s="16"/>
      <c r="E37" s="8"/>
      <c r="F37" s="8"/>
      <c r="G37" s="8"/>
    </row>
    <row r="38" customFormat="false" ht="15" hidden="false" customHeight="false" outlineLevel="0" collapsed="false">
      <c r="A38" s="16"/>
      <c r="B38" s="16"/>
      <c r="C38" s="16"/>
      <c r="D38" s="16"/>
      <c r="E38" s="8"/>
      <c r="F38" s="8"/>
      <c r="G38" s="8"/>
    </row>
    <row r="39" customFormat="false" ht="15" hidden="false" customHeight="false" outlineLevel="0" collapsed="false">
      <c r="A39" s="16"/>
      <c r="B39" s="16"/>
      <c r="C39" s="16"/>
      <c r="D39" s="16"/>
      <c r="E39" s="8"/>
      <c r="F39" s="8"/>
      <c r="G39" s="8"/>
    </row>
    <row r="40" customFormat="false" ht="15" hidden="false" customHeight="false" outlineLevel="0" collapsed="false">
      <c r="A40" s="16"/>
      <c r="B40" s="16"/>
      <c r="C40" s="16"/>
      <c r="D40" s="16"/>
      <c r="E40" s="8"/>
      <c r="F40" s="8"/>
      <c r="G40" s="8"/>
    </row>
    <row r="41" customFormat="false" ht="15" hidden="false" customHeight="false" outlineLevel="0" collapsed="false">
      <c r="A41" s="16"/>
      <c r="B41" s="16"/>
      <c r="C41" s="16"/>
      <c r="D41" s="16"/>
      <c r="E41" s="8"/>
      <c r="F41" s="8"/>
      <c r="G41" s="8"/>
    </row>
    <row r="42" customFormat="false" ht="15" hidden="false" customHeight="false" outlineLevel="0" collapsed="false">
      <c r="A42" s="16"/>
      <c r="B42" s="16"/>
      <c r="C42" s="16"/>
      <c r="D42" s="16"/>
      <c r="E42" s="8"/>
      <c r="F42" s="8"/>
      <c r="G42" s="8"/>
    </row>
    <row r="43" customFormat="false" ht="15" hidden="false" customHeight="false" outlineLevel="0" collapsed="false">
      <c r="A43" s="16"/>
      <c r="B43" s="16"/>
      <c r="C43" s="16"/>
      <c r="D43" s="16"/>
      <c r="E43" s="8"/>
      <c r="F43" s="8"/>
      <c r="G43" s="8"/>
    </row>
    <row r="44" customFormat="false" ht="15" hidden="false" customHeight="false" outlineLevel="0" collapsed="false">
      <c r="A44" s="16"/>
      <c r="B44" s="16"/>
      <c r="C44" s="16"/>
      <c r="D44" s="16"/>
      <c r="E44" s="8"/>
      <c r="F44" s="8"/>
      <c r="G44" s="8"/>
    </row>
    <row r="45" customFormat="false" ht="15" hidden="false" customHeight="false" outlineLevel="0" collapsed="false">
      <c r="A45" s="16"/>
      <c r="B45" s="16"/>
      <c r="C45" s="16"/>
      <c r="D45" s="16"/>
      <c r="E45" s="8"/>
      <c r="F45" s="8"/>
      <c r="G45" s="8"/>
    </row>
    <row r="46" customFormat="false" ht="15" hidden="false" customHeight="false" outlineLevel="0" collapsed="false">
      <c r="A46" s="16"/>
      <c r="B46" s="16"/>
      <c r="C46" s="16"/>
      <c r="D46" s="16"/>
      <c r="E46" s="8"/>
      <c r="F46" s="8"/>
      <c r="G46" s="8"/>
    </row>
    <row r="47" customFormat="false" ht="15" hidden="false" customHeight="false" outlineLevel="0" collapsed="false">
      <c r="A47" s="16"/>
      <c r="B47" s="16"/>
      <c r="C47" s="16"/>
      <c r="D47" s="16"/>
      <c r="E47" s="8"/>
      <c r="F47" s="8"/>
      <c r="G47" s="8"/>
    </row>
    <row r="48" customFormat="false" ht="15" hidden="false" customHeight="false" outlineLevel="0" collapsed="false">
      <c r="A48" s="16"/>
      <c r="B48" s="16"/>
      <c r="C48" s="16"/>
      <c r="D48" s="16"/>
      <c r="E48" s="8"/>
      <c r="F48" s="8"/>
      <c r="G48" s="8"/>
    </row>
    <row r="49" customFormat="false" ht="15" hidden="false" customHeight="false" outlineLevel="0" collapsed="false">
      <c r="A49" s="16"/>
      <c r="B49" s="16"/>
      <c r="C49" s="16"/>
      <c r="D49" s="16"/>
      <c r="E49" s="8"/>
      <c r="F49" s="8"/>
      <c r="G49" s="8"/>
    </row>
    <row r="50" customFormat="false" ht="15" hidden="false" customHeight="false" outlineLevel="0" collapsed="false">
      <c r="A50" s="16"/>
      <c r="B50" s="16"/>
      <c r="C50" s="16"/>
      <c r="D50" s="16"/>
      <c r="E50" s="8"/>
      <c r="F50" s="8"/>
      <c r="G50" s="8"/>
    </row>
    <row r="51" customFormat="false" ht="15" hidden="false" customHeight="false" outlineLevel="0" collapsed="false">
      <c r="A51" s="16"/>
      <c r="B51" s="16"/>
      <c r="C51" s="16"/>
      <c r="D51" s="16"/>
      <c r="E51" s="8"/>
      <c r="F51" s="8"/>
      <c r="G51" s="8"/>
    </row>
    <row r="52" customFormat="false" ht="15" hidden="false" customHeight="false" outlineLevel="0" collapsed="false">
      <c r="A52" s="16"/>
      <c r="B52" s="16"/>
      <c r="C52" s="16"/>
      <c r="D52" s="16"/>
      <c r="E52" s="8"/>
      <c r="F52" s="8"/>
      <c r="G52" s="8"/>
    </row>
    <row r="53" customFormat="false" ht="15" hidden="false" customHeight="false" outlineLevel="0" collapsed="false">
      <c r="A53" s="16"/>
      <c r="B53" s="16"/>
      <c r="C53" s="16"/>
      <c r="D53" s="16"/>
      <c r="E53" s="8"/>
      <c r="F53" s="8"/>
      <c r="G53" s="8"/>
    </row>
    <row r="54" customFormat="false" ht="15" hidden="false" customHeight="false" outlineLevel="0" collapsed="false">
      <c r="A54" s="16"/>
      <c r="B54" s="16"/>
      <c r="C54" s="16"/>
      <c r="D54" s="16"/>
      <c r="E54" s="8"/>
      <c r="F54" s="8"/>
      <c r="G54" s="8"/>
    </row>
    <row r="55" customFormat="false" ht="15" hidden="false" customHeight="false" outlineLevel="0" collapsed="false">
      <c r="A55" s="16"/>
      <c r="B55" s="16"/>
      <c r="C55" s="16"/>
      <c r="D55" s="16"/>
      <c r="E55" s="8"/>
      <c r="F55" s="8"/>
      <c r="G55" s="8"/>
    </row>
    <row r="56" customFormat="false" ht="15" hidden="false" customHeight="false" outlineLevel="0" collapsed="false">
      <c r="A56" s="16"/>
      <c r="B56" s="16"/>
      <c r="C56" s="16"/>
      <c r="D56" s="16"/>
      <c r="E56" s="8"/>
      <c r="F56" s="8"/>
      <c r="G56" s="8"/>
    </row>
    <row r="57" customFormat="false" ht="15" hidden="false" customHeight="false" outlineLevel="0" collapsed="false">
      <c r="A57" s="16"/>
      <c r="B57" s="16"/>
      <c r="C57" s="16"/>
      <c r="D57" s="16"/>
      <c r="E57" s="8"/>
      <c r="F57" s="8"/>
      <c r="G57" s="8"/>
    </row>
    <row r="58" customFormat="false" ht="15" hidden="false" customHeight="false" outlineLevel="0" collapsed="false">
      <c r="A58" s="16"/>
      <c r="B58" s="16"/>
      <c r="C58" s="16"/>
      <c r="D58" s="16"/>
      <c r="E58" s="8"/>
      <c r="F58" s="8"/>
      <c r="G58" s="8"/>
    </row>
    <row r="59" customFormat="false" ht="15" hidden="false" customHeight="false" outlineLevel="0" collapsed="false">
      <c r="A59" s="16"/>
      <c r="B59" s="16"/>
      <c r="C59" s="16"/>
      <c r="D59" s="16"/>
      <c r="E59" s="8"/>
      <c r="F59" s="8"/>
      <c r="G59" s="8"/>
    </row>
    <row r="60" customFormat="false" ht="15" hidden="false" customHeight="false" outlineLevel="0" collapsed="false">
      <c r="A60" s="16"/>
      <c r="B60" s="16"/>
      <c r="C60" s="16"/>
      <c r="D60" s="16"/>
      <c r="E60" s="8"/>
      <c r="F60" s="8"/>
      <c r="G60" s="8"/>
    </row>
    <row r="61" customFormat="false" ht="15" hidden="false" customHeight="false" outlineLevel="0" collapsed="false">
      <c r="A61" s="16"/>
      <c r="B61" s="16"/>
      <c r="C61" s="16"/>
      <c r="D61" s="16"/>
      <c r="E61" s="8"/>
      <c r="F61" s="8"/>
      <c r="G61" s="8"/>
    </row>
    <row r="62" customFormat="false" ht="15" hidden="false" customHeight="false" outlineLevel="0" collapsed="false">
      <c r="A62" s="16"/>
      <c r="B62" s="16"/>
      <c r="C62" s="16"/>
      <c r="D62" s="16"/>
      <c r="E62" s="8"/>
      <c r="F62" s="8"/>
      <c r="G62" s="8"/>
    </row>
    <row r="63" customFormat="false" ht="15" hidden="false" customHeight="false" outlineLevel="0" collapsed="false">
      <c r="A63" s="16"/>
      <c r="B63" s="16"/>
      <c r="C63" s="16"/>
      <c r="D63" s="16"/>
      <c r="E63" s="8"/>
      <c r="F63" s="8"/>
      <c r="G63" s="8"/>
    </row>
    <row r="64" customFormat="false" ht="15" hidden="false" customHeight="false" outlineLevel="0" collapsed="false">
      <c r="A64" s="16"/>
      <c r="B64" s="16"/>
      <c r="C64" s="16"/>
      <c r="D64" s="16"/>
      <c r="E64" s="8"/>
      <c r="F64" s="8"/>
      <c r="G64" s="8"/>
    </row>
    <row r="65" customFormat="false" ht="15" hidden="false" customHeight="false" outlineLevel="0" collapsed="false">
      <c r="A65" s="16"/>
      <c r="B65" s="16"/>
      <c r="C65" s="16"/>
      <c r="D65" s="16"/>
      <c r="E65" s="8"/>
      <c r="F65" s="8"/>
      <c r="G65" s="8"/>
    </row>
    <row r="66" customFormat="false" ht="15" hidden="false" customHeight="false" outlineLevel="0" collapsed="false">
      <c r="A66" s="16"/>
      <c r="B66" s="16"/>
      <c r="C66" s="16"/>
      <c r="D66" s="16"/>
      <c r="E66" s="8"/>
      <c r="F66" s="8"/>
      <c r="G66" s="8"/>
    </row>
    <row r="67" customFormat="false" ht="15" hidden="false" customHeight="false" outlineLevel="0" collapsed="false">
      <c r="A67" s="16"/>
      <c r="B67" s="16"/>
      <c r="C67" s="16"/>
      <c r="D67" s="16"/>
      <c r="E67" s="8"/>
      <c r="F67" s="8"/>
      <c r="G67" s="8"/>
    </row>
    <row r="68" customFormat="false" ht="15" hidden="false" customHeight="false" outlineLevel="0" collapsed="false">
      <c r="A68" s="16"/>
      <c r="B68" s="16"/>
      <c r="C68" s="16"/>
      <c r="D68" s="16"/>
      <c r="E68" s="8"/>
      <c r="F68" s="8"/>
      <c r="G68" s="8"/>
    </row>
    <row r="69" customFormat="false" ht="15" hidden="false" customHeight="false" outlineLevel="0" collapsed="false">
      <c r="A69" s="16"/>
      <c r="B69" s="16"/>
      <c r="C69" s="16"/>
      <c r="D69" s="16"/>
      <c r="E69" s="8"/>
      <c r="F69" s="8"/>
      <c r="G69" s="8"/>
    </row>
    <row r="70" customFormat="false" ht="15" hidden="false" customHeight="false" outlineLevel="0" collapsed="false">
      <c r="A70" s="16"/>
      <c r="B70" s="16"/>
      <c r="C70" s="16"/>
      <c r="D70" s="16"/>
      <c r="E70" s="8"/>
      <c r="F70" s="8"/>
      <c r="G70" s="8"/>
    </row>
    <row r="71" customFormat="false" ht="15" hidden="false" customHeight="false" outlineLevel="0" collapsed="false">
      <c r="A71" s="16"/>
      <c r="B71" s="16"/>
      <c r="C71" s="16"/>
      <c r="D71" s="16"/>
      <c r="E71" s="8"/>
      <c r="F71" s="8"/>
      <c r="G71" s="8"/>
    </row>
    <row r="72" customFormat="false" ht="15" hidden="false" customHeight="false" outlineLevel="0" collapsed="false">
      <c r="A72" s="16"/>
      <c r="B72" s="16"/>
      <c r="C72" s="16"/>
      <c r="D72" s="16"/>
      <c r="E72" s="8"/>
      <c r="F72" s="8"/>
      <c r="G72" s="8"/>
    </row>
    <row r="73" customFormat="false" ht="15" hidden="false" customHeight="false" outlineLevel="0" collapsed="false">
      <c r="A73" s="16"/>
      <c r="B73" s="16"/>
      <c r="C73" s="16"/>
      <c r="D73" s="16"/>
      <c r="E73" s="8"/>
      <c r="F73" s="8"/>
      <c r="G73" s="8"/>
    </row>
    <row r="74" customFormat="false" ht="15" hidden="false" customHeight="false" outlineLevel="0" collapsed="false">
      <c r="A74" s="16"/>
      <c r="B74" s="16"/>
      <c r="C74" s="16"/>
      <c r="D74" s="16"/>
      <c r="E74" s="8"/>
      <c r="F74" s="8"/>
      <c r="G74" s="8"/>
    </row>
    <row r="75" customFormat="false" ht="15" hidden="false" customHeight="false" outlineLevel="0" collapsed="false">
      <c r="A75" s="16"/>
      <c r="B75" s="16"/>
      <c r="C75" s="16"/>
      <c r="D75" s="16"/>
      <c r="E75" s="8"/>
      <c r="F75" s="8"/>
      <c r="G75" s="8"/>
    </row>
    <row r="76" customFormat="false" ht="15" hidden="false" customHeight="false" outlineLevel="0" collapsed="false">
      <c r="A76" s="16"/>
      <c r="B76" s="16"/>
      <c r="C76" s="16"/>
      <c r="D76" s="16"/>
      <c r="E76" s="8"/>
      <c r="F76" s="8"/>
      <c r="G76" s="8"/>
    </row>
    <row r="77" customFormat="false" ht="15" hidden="false" customHeight="false" outlineLevel="0" collapsed="false">
      <c r="A77" s="16"/>
      <c r="B77" s="16"/>
      <c r="C77" s="16"/>
      <c r="D77" s="16"/>
      <c r="E77" s="8"/>
      <c r="F77" s="8"/>
      <c r="G77" s="8"/>
    </row>
    <row r="78" customFormat="false" ht="15" hidden="false" customHeight="false" outlineLevel="0" collapsed="false">
      <c r="A78" s="16"/>
      <c r="B78" s="16"/>
      <c r="C78" s="16"/>
      <c r="D78" s="16"/>
      <c r="E78" s="8"/>
      <c r="F78" s="8"/>
      <c r="G78" s="8"/>
    </row>
    <row r="79" customFormat="false" ht="15" hidden="false" customHeight="false" outlineLevel="0" collapsed="false">
      <c r="A79" s="16"/>
      <c r="B79" s="16"/>
      <c r="C79" s="16"/>
      <c r="D79" s="16"/>
      <c r="E79" s="8"/>
      <c r="F79" s="8"/>
      <c r="G79" s="8"/>
    </row>
    <row r="80" customFormat="false" ht="15" hidden="false" customHeight="false" outlineLevel="0" collapsed="false">
      <c r="A80" s="16"/>
      <c r="B80" s="16"/>
      <c r="C80" s="16"/>
      <c r="D80" s="16"/>
      <c r="E80" s="8"/>
      <c r="F80" s="8"/>
      <c r="G80" s="8"/>
    </row>
    <row r="81" customFormat="false" ht="15" hidden="false" customHeight="false" outlineLevel="0" collapsed="false">
      <c r="A81" s="16"/>
      <c r="B81" s="16"/>
      <c r="C81" s="16"/>
      <c r="D81" s="16"/>
      <c r="E81" s="8"/>
      <c r="F81" s="8"/>
      <c r="G81" s="8"/>
    </row>
    <row r="82" customFormat="false" ht="15" hidden="false" customHeight="false" outlineLevel="0" collapsed="false">
      <c r="A82" s="16"/>
      <c r="B82" s="16"/>
      <c r="C82" s="16"/>
      <c r="D82" s="16"/>
      <c r="E82" s="8"/>
      <c r="F82" s="8"/>
      <c r="G82" s="8"/>
    </row>
    <row r="83" customFormat="false" ht="15" hidden="false" customHeight="false" outlineLevel="0" collapsed="false">
      <c r="A83" s="16"/>
      <c r="B83" s="16"/>
      <c r="C83" s="16"/>
      <c r="D83" s="16"/>
      <c r="E83" s="8"/>
      <c r="F83" s="8"/>
      <c r="G83" s="8"/>
    </row>
    <row r="84" customFormat="false" ht="15" hidden="false" customHeight="false" outlineLevel="0" collapsed="false">
      <c r="A84" s="16"/>
      <c r="B84" s="16"/>
      <c r="C84" s="16"/>
      <c r="D84" s="16"/>
      <c r="E84" s="8"/>
      <c r="F84" s="8"/>
      <c r="G84" s="8"/>
    </row>
    <row r="85" customFormat="false" ht="15" hidden="false" customHeight="false" outlineLevel="0" collapsed="false">
      <c r="A85" s="16"/>
      <c r="B85" s="16"/>
      <c r="C85" s="16"/>
      <c r="D85" s="16"/>
      <c r="E85" s="8"/>
      <c r="F85" s="8"/>
      <c r="G85" s="8"/>
    </row>
    <row r="86" customFormat="false" ht="15" hidden="false" customHeight="false" outlineLevel="0" collapsed="false">
      <c r="A86" s="16"/>
      <c r="B86" s="16"/>
      <c r="C86" s="16"/>
      <c r="D86" s="16"/>
      <c r="E86" s="8"/>
      <c r="F86" s="8"/>
      <c r="G86" s="8"/>
    </row>
    <row r="87" customFormat="false" ht="15" hidden="false" customHeight="false" outlineLevel="0" collapsed="false">
      <c r="A87" s="16"/>
      <c r="B87" s="16"/>
      <c r="C87" s="16"/>
      <c r="D87" s="16"/>
      <c r="E87" s="8"/>
      <c r="F87" s="8"/>
      <c r="G87" s="8"/>
    </row>
    <row r="88" customFormat="false" ht="15" hidden="false" customHeight="false" outlineLevel="0" collapsed="false">
      <c r="A88" s="16"/>
      <c r="B88" s="16"/>
      <c r="C88" s="16"/>
      <c r="D88" s="16"/>
      <c r="E88" s="8"/>
      <c r="F88" s="8"/>
      <c r="G88" s="8"/>
    </row>
    <row r="89" customFormat="false" ht="15" hidden="false" customHeight="false" outlineLevel="0" collapsed="false">
      <c r="A89" s="16"/>
      <c r="B89" s="16"/>
      <c r="C89" s="16"/>
      <c r="D89" s="16"/>
      <c r="E89" s="8"/>
      <c r="F89" s="8"/>
      <c r="G89" s="8"/>
    </row>
    <row r="90" customFormat="false" ht="15" hidden="false" customHeight="false" outlineLevel="0" collapsed="false">
      <c r="A90" s="16"/>
      <c r="B90" s="16"/>
      <c r="C90" s="16"/>
      <c r="D90" s="16"/>
      <c r="E90" s="8"/>
      <c r="F90" s="8"/>
      <c r="G90" s="8"/>
    </row>
    <row r="91" customFormat="false" ht="15" hidden="false" customHeight="false" outlineLevel="0" collapsed="false">
      <c r="A91" s="16"/>
      <c r="B91" s="16"/>
      <c r="C91" s="16"/>
      <c r="D91" s="16"/>
      <c r="E91" s="8"/>
      <c r="F91" s="8"/>
      <c r="G91" s="8"/>
    </row>
    <row r="92" customFormat="false" ht="15" hidden="false" customHeight="false" outlineLevel="0" collapsed="false">
      <c r="A92" s="16"/>
      <c r="B92" s="16"/>
      <c r="C92" s="16"/>
      <c r="D92" s="16"/>
      <c r="E92" s="8"/>
      <c r="F92" s="8"/>
      <c r="G92" s="8"/>
    </row>
    <row r="93" customFormat="false" ht="15" hidden="false" customHeight="false" outlineLevel="0" collapsed="false">
      <c r="A93" s="16"/>
      <c r="B93" s="16"/>
      <c r="C93" s="16"/>
      <c r="D93" s="16"/>
      <c r="E93" s="8"/>
      <c r="F93" s="8"/>
      <c r="G93" s="8"/>
    </row>
    <row r="94" customFormat="false" ht="15" hidden="false" customHeight="false" outlineLevel="0" collapsed="false">
      <c r="A94" s="16"/>
      <c r="B94" s="16"/>
      <c r="C94" s="16"/>
      <c r="D94" s="16"/>
      <c r="E94" s="8"/>
      <c r="F94" s="8"/>
      <c r="G94" s="8"/>
    </row>
    <row r="95" customFormat="false" ht="15" hidden="false" customHeight="false" outlineLevel="0" collapsed="false">
      <c r="A95" s="16"/>
      <c r="B95" s="16"/>
      <c r="C95" s="16"/>
      <c r="D95" s="16"/>
      <c r="E95" s="8"/>
      <c r="F95" s="8"/>
      <c r="G95" s="8"/>
    </row>
    <row r="96" customFormat="false" ht="15" hidden="false" customHeight="false" outlineLevel="0" collapsed="false">
      <c r="A96" s="16"/>
      <c r="B96" s="16"/>
      <c r="C96" s="16"/>
      <c r="D96" s="16"/>
      <c r="E96" s="8"/>
      <c r="F96" s="8"/>
      <c r="G96" s="8"/>
    </row>
    <row r="97" customFormat="false" ht="15" hidden="false" customHeight="false" outlineLevel="0" collapsed="false">
      <c r="A97" s="16"/>
      <c r="B97" s="16"/>
      <c r="C97" s="16"/>
      <c r="D97" s="16"/>
      <c r="E97" s="8"/>
      <c r="F97" s="8"/>
      <c r="G97" s="8"/>
    </row>
    <row r="98" customFormat="false" ht="15" hidden="false" customHeight="false" outlineLevel="0" collapsed="false">
      <c r="A98" s="16"/>
      <c r="B98" s="16"/>
      <c r="C98" s="16"/>
      <c r="D98" s="16"/>
      <c r="E98" s="8"/>
      <c r="F98" s="8"/>
      <c r="G98" s="8"/>
    </row>
    <row r="99" customFormat="false" ht="15" hidden="false" customHeight="false" outlineLevel="0" collapsed="false">
      <c r="A99" s="16"/>
      <c r="B99" s="16"/>
      <c r="C99" s="16"/>
      <c r="D99" s="16"/>
      <c r="E99" s="8"/>
      <c r="F99" s="8"/>
      <c r="G99" s="8"/>
    </row>
    <row r="100" customFormat="false" ht="15" hidden="false" customHeight="false" outlineLevel="0" collapsed="false">
      <c r="A100" s="16"/>
      <c r="B100" s="16"/>
      <c r="C100" s="16"/>
      <c r="D100" s="16"/>
      <c r="E100" s="8"/>
      <c r="F100" s="8"/>
      <c r="G100" s="8"/>
    </row>
    <row r="101" customFormat="false" ht="15" hidden="false" customHeight="false" outlineLevel="0" collapsed="false">
      <c r="A101" s="16"/>
      <c r="B101" s="16"/>
      <c r="C101" s="16"/>
      <c r="D101" s="16"/>
      <c r="E101" s="8"/>
      <c r="F101" s="8"/>
      <c r="G101" s="8"/>
    </row>
    <row r="102" customFormat="false" ht="15" hidden="false" customHeight="false" outlineLevel="0" collapsed="false">
      <c r="A102" s="16"/>
      <c r="B102" s="16"/>
      <c r="C102" s="16"/>
      <c r="D102" s="16"/>
      <c r="E102" s="8"/>
      <c r="F102" s="8"/>
      <c r="G102" s="8"/>
    </row>
    <row r="103" customFormat="false" ht="15" hidden="false" customHeight="false" outlineLevel="0" collapsed="false">
      <c r="A103" s="16"/>
      <c r="B103" s="16"/>
      <c r="C103" s="16"/>
      <c r="D103" s="16"/>
      <c r="E103" s="8"/>
      <c r="F103" s="8"/>
      <c r="G103" s="8"/>
    </row>
    <row r="104" customFormat="false" ht="15" hidden="false" customHeight="false" outlineLevel="0" collapsed="false">
      <c r="A104" s="16"/>
      <c r="B104" s="16"/>
      <c r="C104" s="16"/>
      <c r="D104" s="16"/>
      <c r="E104" s="8"/>
      <c r="F104" s="8"/>
      <c r="G104" s="8"/>
    </row>
    <row r="105" customFormat="false" ht="15" hidden="false" customHeight="false" outlineLevel="0" collapsed="false">
      <c r="A105" s="16"/>
      <c r="B105" s="16"/>
      <c r="C105" s="16"/>
      <c r="D105" s="16"/>
      <c r="E105" s="8"/>
      <c r="F105" s="8"/>
      <c r="G105" s="8"/>
    </row>
    <row r="106" customFormat="false" ht="15" hidden="false" customHeight="false" outlineLevel="0" collapsed="false">
      <c r="A106" s="16"/>
      <c r="B106" s="16"/>
      <c r="C106" s="16"/>
      <c r="D106" s="16"/>
      <c r="E106" s="8"/>
      <c r="F106" s="8"/>
      <c r="G106" s="8"/>
    </row>
    <row r="107" customFormat="false" ht="15" hidden="false" customHeight="false" outlineLevel="0" collapsed="false">
      <c r="A107" s="16"/>
      <c r="B107" s="16"/>
      <c r="C107" s="16"/>
      <c r="D107" s="16"/>
      <c r="E107" s="8"/>
      <c r="F107" s="8"/>
      <c r="G107" s="8"/>
    </row>
    <row r="108" customFormat="false" ht="15" hidden="false" customHeight="false" outlineLevel="0" collapsed="false">
      <c r="A108" s="16"/>
      <c r="B108" s="16"/>
      <c r="C108" s="16"/>
      <c r="D108" s="16"/>
      <c r="E108" s="8"/>
      <c r="F108" s="8"/>
      <c r="G108" s="8"/>
    </row>
    <row r="109" customFormat="false" ht="15" hidden="false" customHeight="false" outlineLevel="0" collapsed="false">
      <c r="A109" s="16"/>
      <c r="B109" s="16"/>
      <c r="C109" s="16"/>
      <c r="D109" s="16"/>
      <c r="E109" s="8"/>
      <c r="F109" s="8"/>
      <c r="G109" s="8"/>
    </row>
    <row r="110" customFormat="false" ht="15" hidden="false" customHeight="false" outlineLevel="0" collapsed="false">
      <c r="A110" s="16"/>
      <c r="B110" s="16"/>
      <c r="C110" s="16"/>
      <c r="D110" s="16"/>
      <c r="E110" s="8"/>
      <c r="F110" s="8"/>
      <c r="G110" s="8"/>
    </row>
    <row r="111" customFormat="false" ht="15" hidden="false" customHeight="false" outlineLevel="0" collapsed="false">
      <c r="A111" s="16"/>
      <c r="B111" s="16"/>
      <c r="C111" s="16"/>
      <c r="D111" s="16"/>
      <c r="E111" s="8"/>
      <c r="F111" s="8"/>
      <c r="G111" s="8"/>
    </row>
    <row r="112" customFormat="false" ht="15" hidden="false" customHeight="false" outlineLevel="0" collapsed="false">
      <c r="A112" s="16"/>
      <c r="B112" s="16"/>
      <c r="C112" s="16"/>
      <c r="D112" s="16"/>
      <c r="E112" s="8"/>
      <c r="F112" s="8"/>
      <c r="G112" s="8"/>
    </row>
    <row r="113" customFormat="false" ht="15" hidden="false" customHeight="false" outlineLevel="0" collapsed="false">
      <c r="A113" s="16"/>
      <c r="B113" s="16"/>
      <c r="C113" s="16"/>
      <c r="D113" s="16"/>
      <c r="E113" s="8"/>
      <c r="F113" s="8"/>
      <c r="G113" s="8"/>
    </row>
    <row r="114" customFormat="false" ht="15" hidden="false" customHeight="false" outlineLevel="0" collapsed="false">
      <c r="A114" s="16"/>
      <c r="B114" s="16"/>
      <c r="C114" s="16"/>
      <c r="D114" s="16"/>
      <c r="E114" s="8"/>
      <c r="F114" s="8"/>
      <c r="G114" s="8"/>
    </row>
    <row r="115" customFormat="false" ht="15" hidden="false" customHeight="false" outlineLevel="0" collapsed="false">
      <c r="A115" s="16"/>
      <c r="B115" s="16"/>
      <c r="C115" s="16"/>
      <c r="D115" s="16"/>
      <c r="E115" s="8"/>
      <c r="F115" s="8"/>
      <c r="G115" s="8"/>
    </row>
    <row r="116" customFormat="false" ht="15" hidden="false" customHeight="false" outlineLevel="0" collapsed="false">
      <c r="A116" s="16"/>
      <c r="B116" s="16"/>
      <c r="C116" s="16"/>
      <c r="D116" s="16"/>
      <c r="E116" s="8"/>
      <c r="F116" s="8"/>
      <c r="G116" s="8"/>
    </row>
    <row r="117" customFormat="false" ht="15" hidden="false" customHeight="false" outlineLevel="0" collapsed="false">
      <c r="A117" s="16"/>
      <c r="B117" s="16"/>
      <c r="C117" s="16"/>
      <c r="D117" s="16"/>
      <c r="E117" s="8"/>
      <c r="F117" s="8"/>
      <c r="G117" s="8"/>
    </row>
    <row r="118" customFormat="false" ht="15" hidden="false" customHeight="false" outlineLevel="0" collapsed="false">
      <c r="A118" s="16"/>
      <c r="B118" s="16"/>
      <c r="C118" s="16"/>
      <c r="D118" s="16"/>
      <c r="E118" s="8"/>
      <c r="F118" s="8"/>
      <c r="G118" s="8"/>
    </row>
    <row r="119" customFormat="false" ht="15" hidden="false" customHeight="false" outlineLevel="0" collapsed="false">
      <c r="A119" s="16"/>
      <c r="B119" s="16"/>
      <c r="C119" s="16"/>
      <c r="D119" s="16"/>
      <c r="E119" s="8"/>
      <c r="F119" s="8"/>
      <c r="G119" s="8"/>
    </row>
    <row r="120" customFormat="false" ht="15" hidden="false" customHeight="false" outlineLevel="0" collapsed="false">
      <c r="A120" s="16"/>
      <c r="B120" s="16"/>
      <c r="C120" s="16"/>
      <c r="D120" s="16"/>
      <c r="E120" s="8"/>
      <c r="F120" s="8"/>
      <c r="G120" s="8"/>
    </row>
    <row r="121" customFormat="false" ht="15" hidden="false" customHeight="false" outlineLevel="0" collapsed="false">
      <c r="A121" s="16"/>
      <c r="B121" s="16"/>
      <c r="C121" s="16"/>
      <c r="D121" s="16"/>
      <c r="E121" s="8"/>
      <c r="F121" s="8"/>
      <c r="G121" s="8"/>
    </row>
    <row r="122" customFormat="false" ht="15" hidden="false" customHeight="false" outlineLevel="0" collapsed="false">
      <c r="A122" s="16"/>
      <c r="B122" s="16"/>
      <c r="C122" s="16"/>
      <c r="D122" s="16"/>
      <c r="E122" s="8"/>
      <c r="F122" s="8"/>
      <c r="G122" s="8"/>
    </row>
    <row r="123" customFormat="false" ht="15" hidden="false" customHeight="false" outlineLevel="0" collapsed="false">
      <c r="A123" s="16"/>
      <c r="B123" s="16"/>
      <c r="C123" s="16"/>
      <c r="D123" s="16"/>
      <c r="E123" s="8"/>
      <c r="F123" s="8"/>
      <c r="G123" s="8"/>
    </row>
    <row r="124" customFormat="false" ht="15" hidden="false" customHeight="false" outlineLevel="0" collapsed="false">
      <c r="A124" s="16"/>
      <c r="B124" s="16"/>
      <c r="C124" s="16"/>
      <c r="D124" s="16"/>
      <c r="E124" s="8"/>
      <c r="F124" s="8"/>
      <c r="G124" s="8"/>
    </row>
    <row r="125" customFormat="false" ht="15" hidden="false" customHeight="false" outlineLevel="0" collapsed="false">
      <c r="A125" s="16"/>
      <c r="B125" s="16"/>
      <c r="C125" s="16"/>
      <c r="D125" s="16"/>
      <c r="E125" s="8"/>
      <c r="F125" s="8"/>
      <c r="G125" s="8"/>
    </row>
    <row r="126" customFormat="false" ht="15" hidden="false" customHeight="false" outlineLevel="0" collapsed="false">
      <c r="A126" s="16"/>
      <c r="B126" s="16"/>
      <c r="C126" s="16"/>
      <c r="D126" s="16"/>
      <c r="E126" s="8"/>
      <c r="F126" s="8"/>
      <c r="G126" s="8"/>
    </row>
    <row r="127" customFormat="false" ht="15" hidden="false" customHeight="false" outlineLevel="0" collapsed="false">
      <c r="A127" s="16"/>
      <c r="B127" s="16"/>
      <c r="C127" s="16"/>
      <c r="D127" s="16"/>
      <c r="E127" s="8"/>
      <c r="F127" s="8"/>
      <c r="G127" s="8"/>
    </row>
    <row r="128" customFormat="false" ht="15" hidden="false" customHeight="false" outlineLevel="0" collapsed="false">
      <c r="A128" s="16"/>
      <c r="B128" s="16"/>
      <c r="C128" s="16"/>
      <c r="D128" s="16"/>
      <c r="E128" s="8"/>
      <c r="F128" s="8"/>
      <c r="G128" s="8"/>
    </row>
    <row r="129" customFormat="false" ht="15" hidden="false" customHeight="false" outlineLevel="0" collapsed="false">
      <c r="A129" s="16"/>
      <c r="B129" s="16"/>
      <c r="C129" s="16"/>
      <c r="D129" s="16"/>
      <c r="E129" s="8"/>
      <c r="F129" s="8"/>
      <c r="G129" s="8"/>
    </row>
    <row r="130" customFormat="false" ht="15" hidden="false" customHeight="false" outlineLevel="0" collapsed="false">
      <c r="A130" s="16"/>
      <c r="B130" s="16"/>
      <c r="C130" s="16"/>
      <c r="D130" s="16"/>
      <c r="E130" s="8"/>
      <c r="F130" s="8"/>
      <c r="G130" s="8"/>
    </row>
    <row r="131" customFormat="false" ht="15" hidden="false" customHeight="false" outlineLevel="0" collapsed="false">
      <c r="A131" s="16"/>
      <c r="B131" s="16"/>
      <c r="C131" s="16"/>
      <c r="D131" s="16"/>
      <c r="E131" s="8"/>
      <c r="F131" s="8"/>
      <c r="G131" s="8"/>
    </row>
    <row r="132" customFormat="false" ht="15" hidden="false" customHeight="false" outlineLevel="0" collapsed="false">
      <c r="A132" s="16"/>
      <c r="B132" s="16"/>
      <c r="C132" s="16"/>
      <c r="D132" s="16"/>
      <c r="E132" s="8"/>
      <c r="F132" s="8"/>
      <c r="G132" s="8"/>
    </row>
    <row r="133" customFormat="false" ht="15" hidden="false" customHeight="false" outlineLevel="0" collapsed="false">
      <c r="A133" s="16"/>
      <c r="B133" s="16"/>
      <c r="C133" s="16"/>
      <c r="D133" s="16"/>
      <c r="E133" s="8"/>
      <c r="F133" s="8"/>
      <c r="G133" s="8"/>
    </row>
    <row r="134" customFormat="false" ht="15" hidden="false" customHeight="false" outlineLevel="0" collapsed="false">
      <c r="A134" s="16"/>
      <c r="B134" s="16"/>
      <c r="C134" s="16"/>
      <c r="D134" s="16"/>
      <c r="E134" s="8"/>
      <c r="F134" s="8"/>
      <c r="G134" s="8"/>
    </row>
    <row r="135" customFormat="false" ht="15" hidden="false" customHeight="false" outlineLevel="0" collapsed="false">
      <c r="A135" s="16"/>
      <c r="B135" s="16"/>
      <c r="C135" s="16"/>
      <c r="D135" s="16"/>
      <c r="E135" s="8"/>
      <c r="F135" s="8"/>
      <c r="G135" s="8"/>
    </row>
    <row r="136" customFormat="false" ht="15" hidden="false" customHeight="false" outlineLevel="0" collapsed="false">
      <c r="A136" s="16"/>
      <c r="B136" s="16"/>
      <c r="C136" s="16"/>
      <c r="D136" s="16"/>
      <c r="E136" s="8"/>
      <c r="F136" s="8"/>
      <c r="G136" s="8"/>
    </row>
    <row r="137" customFormat="false" ht="15" hidden="false" customHeight="false" outlineLevel="0" collapsed="false">
      <c r="A137" s="16"/>
      <c r="B137" s="16"/>
      <c r="C137" s="16"/>
      <c r="D137" s="16"/>
      <c r="E137" s="8"/>
      <c r="F137" s="8"/>
      <c r="G137" s="8"/>
    </row>
    <row r="138" customFormat="false" ht="15" hidden="false" customHeight="false" outlineLevel="0" collapsed="false">
      <c r="A138" s="16"/>
      <c r="B138" s="16"/>
      <c r="C138" s="16"/>
      <c r="D138" s="16"/>
      <c r="E138" s="8"/>
      <c r="F138" s="8"/>
      <c r="G138" s="8"/>
    </row>
    <row r="139" customFormat="false" ht="15" hidden="false" customHeight="false" outlineLevel="0" collapsed="false">
      <c r="A139" s="16"/>
      <c r="B139" s="16"/>
      <c r="C139" s="16"/>
      <c r="D139" s="16"/>
      <c r="E139" s="8"/>
      <c r="F139" s="8"/>
      <c r="G139" s="8"/>
    </row>
    <row r="140" customFormat="false" ht="15" hidden="false" customHeight="false" outlineLevel="0" collapsed="false">
      <c r="A140" s="16"/>
      <c r="B140" s="16"/>
      <c r="C140" s="16"/>
      <c r="D140" s="16"/>
      <c r="E140" s="8"/>
      <c r="F140" s="8"/>
      <c r="G140" s="8"/>
    </row>
    <row r="141" customFormat="false" ht="15" hidden="false" customHeight="false" outlineLevel="0" collapsed="false">
      <c r="A141" s="16"/>
      <c r="B141" s="16"/>
      <c r="C141" s="16"/>
      <c r="D141" s="16"/>
      <c r="E141" s="8"/>
      <c r="F141" s="8"/>
      <c r="G141" s="8"/>
    </row>
    <row r="142" customFormat="false" ht="15" hidden="false" customHeight="false" outlineLevel="0" collapsed="false">
      <c r="A142" s="16"/>
      <c r="B142" s="16"/>
      <c r="C142" s="16"/>
      <c r="D142" s="16"/>
      <c r="E142" s="8"/>
      <c r="F142" s="8"/>
      <c r="G142" s="8"/>
    </row>
    <row r="143" customFormat="false" ht="15" hidden="false" customHeight="false" outlineLevel="0" collapsed="false">
      <c r="A143" s="16"/>
      <c r="B143" s="16"/>
      <c r="C143" s="16"/>
      <c r="D143" s="16"/>
      <c r="E143" s="8"/>
      <c r="F143" s="8"/>
      <c r="G143" s="8"/>
    </row>
    <row r="144" customFormat="false" ht="15" hidden="false" customHeight="false" outlineLevel="0" collapsed="false">
      <c r="A144" s="16"/>
      <c r="B144" s="16"/>
      <c r="C144" s="16"/>
      <c r="D144" s="16"/>
      <c r="E144" s="8"/>
      <c r="F144" s="8"/>
      <c r="G144" s="8"/>
    </row>
    <row r="145" customFormat="false" ht="15" hidden="false" customHeight="false" outlineLevel="0" collapsed="false">
      <c r="A145" s="16"/>
      <c r="B145" s="16"/>
      <c r="C145" s="16"/>
      <c r="D145" s="16"/>
      <c r="E145" s="8"/>
      <c r="F145" s="8"/>
      <c r="G145" s="8"/>
    </row>
    <row r="146" customFormat="false" ht="15" hidden="false" customHeight="false" outlineLevel="0" collapsed="false">
      <c r="A146" s="16"/>
      <c r="B146" s="16"/>
      <c r="C146" s="16"/>
      <c r="D146" s="16"/>
      <c r="E146" s="8"/>
      <c r="F146" s="8"/>
      <c r="G146" s="8"/>
    </row>
    <row r="147" customFormat="false" ht="15" hidden="false" customHeight="false" outlineLevel="0" collapsed="false">
      <c r="A147" s="16"/>
      <c r="B147" s="16"/>
      <c r="C147" s="16"/>
      <c r="D147" s="16"/>
      <c r="E147" s="8"/>
      <c r="F147" s="8"/>
      <c r="G147" s="8"/>
    </row>
    <row r="148" customFormat="false" ht="15" hidden="false" customHeight="false" outlineLevel="0" collapsed="false">
      <c r="A148" s="16"/>
      <c r="B148" s="16"/>
      <c r="C148" s="16"/>
      <c r="D148" s="16"/>
      <c r="E148" s="8"/>
      <c r="F148" s="8"/>
      <c r="G148" s="8"/>
    </row>
    <row r="149" customFormat="false" ht="15" hidden="false" customHeight="false" outlineLevel="0" collapsed="false">
      <c r="A149" s="16"/>
      <c r="B149" s="16"/>
      <c r="C149" s="16"/>
      <c r="D149" s="16"/>
      <c r="E149" s="8"/>
      <c r="F149" s="8"/>
      <c r="G149" s="8"/>
    </row>
    <row r="150" customFormat="false" ht="15" hidden="false" customHeight="false" outlineLevel="0" collapsed="false">
      <c r="A150" s="16"/>
      <c r="B150" s="16"/>
      <c r="C150" s="16"/>
      <c r="D150" s="16"/>
      <c r="E150" s="8"/>
      <c r="F150" s="8"/>
      <c r="G150" s="8"/>
    </row>
    <row r="151" customFormat="false" ht="15" hidden="false" customHeight="false" outlineLevel="0" collapsed="false">
      <c r="A151" s="16"/>
      <c r="B151" s="16"/>
      <c r="C151" s="16"/>
      <c r="D151" s="16"/>
      <c r="E151" s="8"/>
      <c r="F151" s="8"/>
      <c r="G151" s="8"/>
    </row>
    <row r="152" customFormat="false" ht="15" hidden="false" customHeight="false" outlineLevel="0" collapsed="false">
      <c r="A152" s="16"/>
      <c r="B152" s="16"/>
      <c r="C152" s="16"/>
      <c r="D152" s="16"/>
      <c r="E152" s="8"/>
      <c r="F152" s="8"/>
      <c r="G152" s="8"/>
    </row>
    <row r="153" customFormat="false" ht="15" hidden="false" customHeight="false" outlineLevel="0" collapsed="false">
      <c r="A153" s="16"/>
      <c r="B153" s="16"/>
      <c r="C153" s="16"/>
      <c r="D153" s="16"/>
      <c r="E153" s="8"/>
      <c r="F153" s="8"/>
      <c r="G153" s="8"/>
    </row>
    <row r="154" customFormat="false" ht="15" hidden="false" customHeight="false" outlineLevel="0" collapsed="false">
      <c r="A154" s="16"/>
      <c r="B154" s="16"/>
      <c r="C154" s="16"/>
      <c r="D154" s="16"/>
      <c r="E154" s="8"/>
      <c r="F154" s="8"/>
      <c r="G154" s="8"/>
    </row>
  </sheetData>
  <mergeCells count="2">
    <mergeCell ref="A1:G1"/>
    <mergeCell ref="A2:G2"/>
  </mergeCells>
  <dataValidations count="4">
    <dataValidation allowBlank="true" errorStyle="stop" operator="between" showDropDown="false" showErrorMessage="false" showInputMessage="false" sqref="A5:A154" type="list">
      <formula1>選項!$B$2:$B$72</formula1>
      <formula2>0</formula2>
    </dataValidation>
    <dataValidation allowBlank="true" errorStyle="stop" operator="between" showDropDown="false" showErrorMessage="false" showInputMessage="false" sqref="B5:B154" type="list">
      <formula1>選項!$C$2:$C$6</formula1>
      <formula2>0</formula2>
    </dataValidation>
    <dataValidation allowBlank="true" errorStyle="stop" operator="between" showDropDown="false" showErrorMessage="false" showInputMessage="false" sqref="C5:C154" type="list">
      <formula1>選項!$D$2:$D$8</formula1>
      <formula2>0</formula2>
    </dataValidation>
    <dataValidation allowBlank="true" errorStyle="stop" operator="between" showDropDown="false" showErrorMessage="false" showInputMessage="false" sqref="D5:D154" type="list">
      <formula1>選項!$E$2:$E$6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2" t="s">
        <v>167</v>
      </c>
      <c r="B1" s="12"/>
      <c r="C1" s="12"/>
      <c r="D1" s="12"/>
      <c r="E1" s="12"/>
      <c r="F1" s="12"/>
      <c r="G1" s="12"/>
      <c r="H1" s="12"/>
    </row>
    <row r="2" customFormat="false" ht="36" hidden="false" customHeight="true" outlineLevel="0" collapsed="false">
      <c r="A2" s="13" t="s">
        <v>168</v>
      </c>
      <c r="B2" s="13"/>
      <c r="C2" s="13"/>
      <c r="D2" s="13"/>
      <c r="E2" s="13"/>
      <c r="F2" s="13"/>
      <c r="G2" s="13"/>
      <c r="H2" s="13"/>
    </row>
    <row r="3" customFormat="false" ht="17.15" hidden="false" customHeight="false" outlineLevel="0" collapsed="false">
      <c r="A3" s="3" t="s">
        <v>169</v>
      </c>
      <c r="B3" s="3" t="s">
        <v>170</v>
      </c>
      <c r="C3" s="3" t="s">
        <v>171</v>
      </c>
      <c r="D3" s="3" t="s">
        <v>159</v>
      </c>
      <c r="E3" s="3" t="s">
        <v>160</v>
      </c>
      <c r="F3" s="3" t="s">
        <v>172</v>
      </c>
      <c r="G3" s="3" t="s">
        <v>173</v>
      </c>
      <c r="H3" s="3" t="s">
        <v>151</v>
      </c>
    </row>
    <row r="4" customFormat="false" ht="15" hidden="false" customHeight="false" outlineLevel="0" collapsed="false">
      <c r="A4" s="18" t="s">
        <v>174</v>
      </c>
      <c r="B4" s="19" t="s">
        <v>175</v>
      </c>
      <c r="C4" s="18" t="s">
        <v>176</v>
      </c>
      <c r="D4" s="18" t="s">
        <v>177</v>
      </c>
      <c r="E4" s="19" t="s">
        <v>10</v>
      </c>
      <c r="F4" s="18" t="s">
        <v>178</v>
      </c>
      <c r="G4" s="18" t="n">
        <v>2</v>
      </c>
      <c r="H4" s="18" t="s">
        <v>179</v>
      </c>
    </row>
    <row r="5" customFormat="false" ht="15" hidden="false" customHeight="false" outlineLevel="0" collapsed="false">
      <c r="A5" s="16"/>
      <c r="B5" s="16"/>
      <c r="C5" s="8"/>
      <c r="D5" s="16"/>
      <c r="E5" s="16"/>
      <c r="F5" s="8"/>
      <c r="G5" s="8"/>
      <c r="H5" s="8"/>
    </row>
    <row r="6" customFormat="false" ht="15" hidden="false" customHeight="false" outlineLevel="0" collapsed="false">
      <c r="A6" s="16"/>
      <c r="B6" s="16"/>
      <c r="C6" s="8"/>
      <c r="D6" s="16"/>
      <c r="E6" s="16"/>
      <c r="F6" s="8"/>
      <c r="G6" s="8"/>
      <c r="H6" s="8"/>
    </row>
    <row r="7" customFormat="false" ht="15" hidden="false" customHeight="false" outlineLevel="0" collapsed="false">
      <c r="A7" s="16"/>
      <c r="B7" s="16"/>
      <c r="C7" s="8"/>
      <c r="D7" s="16"/>
      <c r="E7" s="16"/>
      <c r="F7" s="8"/>
      <c r="G7" s="8"/>
      <c r="H7" s="8"/>
    </row>
    <row r="8" customFormat="false" ht="15" hidden="false" customHeight="false" outlineLevel="0" collapsed="false">
      <c r="A8" s="16"/>
      <c r="B8" s="16"/>
      <c r="C8" s="8"/>
      <c r="D8" s="16"/>
      <c r="E8" s="16"/>
      <c r="F8" s="8"/>
      <c r="G8" s="8"/>
      <c r="H8" s="8"/>
    </row>
    <row r="9" customFormat="false" ht="15" hidden="false" customHeight="false" outlineLevel="0" collapsed="false">
      <c r="A9" s="16"/>
      <c r="B9" s="16"/>
      <c r="C9" s="8"/>
      <c r="D9" s="16"/>
      <c r="E9" s="16"/>
      <c r="F9" s="8"/>
      <c r="G9" s="8"/>
      <c r="H9" s="8"/>
    </row>
    <row r="10" customFormat="false" ht="15" hidden="false" customHeight="false" outlineLevel="0" collapsed="false">
      <c r="A10" s="16"/>
      <c r="B10" s="16"/>
      <c r="C10" s="8"/>
      <c r="D10" s="16"/>
      <c r="E10" s="16"/>
      <c r="F10" s="8"/>
      <c r="G10" s="8"/>
      <c r="H10" s="8"/>
    </row>
    <row r="11" customFormat="false" ht="15" hidden="false" customHeight="false" outlineLevel="0" collapsed="false">
      <c r="A11" s="16"/>
      <c r="B11" s="16"/>
      <c r="C11" s="8"/>
      <c r="D11" s="16"/>
      <c r="E11" s="16"/>
      <c r="F11" s="8"/>
      <c r="G11" s="8"/>
      <c r="H11" s="8"/>
    </row>
    <row r="12" customFormat="false" ht="15" hidden="false" customHeight="false" outlineLevel="0" collapsed="false">
      <c r="A12" s="16"/>
      <c r="B12" s="16"/>
      <c r="C12" s="8"/>
      <c r="D12" s="16"/>
      <c r="E12" s="16"/>
      <c r="F12" s="8"/>
      <c r="G12" s="8"/>
      <c r="H12" s="8"/>
    </row>
    <row r="13" customFormat="false" ht="15" hidden="false" customHeight="false" outlineLevel="0" collapsed="false">
      <c r="A13" s="16"/>
      <c r="B13" s="16"/>
      <c r="C13" s="8"/>
      <c r="D13" s="16"/>
      <c r="E13" s="16"/>
      <c r="F13" s="8"/>
      <c r="G13" s="8"/>
      <c r="H13" s="8"/>
    </row>
    <row r="14" customFormat="false" ht="15" hidden="false" customHeight="false" outlineLevel="0" collapsed="false">
      <c r="A14" s="16"/>
      <c r="B14" s="16"/>
      <c r="C14" s="8"/>
      <c r="D14" s="16"/>
      <c r="E14" s="16"/>
      <c r="F14" s="8"/>
      <c r="G14" s="8"/>
      <c r="H14" s="8"/>
    </row>
    <row r="15" customFormat="false" ht="15" hidden="false" customHeight="false" outlineLevel="0" collapsed="false">
      <c r="A15" s="16"/>
      <c r="B15" s="16"/>
      <c r="C15" s="8"/>
      <c r="D15" s="16"/>
      <c r="E15" s="16"/>
      <c r="F15" s="8"/>
      <c r="G15" s="8"/>
      <c r="H15" s="8"/>
    </row>
    <row r="16" customFormat="false" ht="15" hidden="false" customHeight="false" outlineLevel="0" collapsed="false">
      <c r="A16" s="16"/>
      <c r="B16" s="16"/>
      <c r="C16" s="8"/>
      <c r="D16" s="16"/>
      <c r="E16" s="16"/>
      <c r="F16" s="8"/>
      <c r="G16" s="8"/>
      <c r="H16" s="8"/>
    </row>
    <row r="17" customFormat="false" ht="15" hidden="false" customHeight="false" outlineLevel="0" collapsed="false">
      <c r="A17" s="16"/>
      <c r="B17" s="16"/>
      <c r="C17" s="8"/>
      <c r="D17" s="16"/>
      <c r="E17" s="16"/>
      <c r="F17" s="8"/>
      <c r="G17" s="8"/>
      <c r="H17" s="8"/>
    </row>
    <row r="18" customFormat="false" ht="15" hidden="false" customHeight="false" outlineLevel="0" collapsed="false">
      <c r="A18" s="16"/>
      <c r="B18" s="16"/>
      <c r="C18" s="8"/>
      <c r="D18" s="16"/>
      <c r="E18" s="16"/>
      <c r="F18" s="8"/>
      <c r="G18" s="8"/>
      <c r="H18" s="8"/>
    </row>
    <row r="19" customFormat="false" ht="15" hidden="false" customHeight="false" outlineLevel="0" collapsed="false">
      <c r="A19" s="16"/>
      <c r="B19" s="16"/>
      <c r="C19" s="8"/>
      <c r="D19" s="16"/>
      <c r="E19" s="16"/>
      <c r="F19" s="8"/>
      <c r="G19" s="8"/>
      <c r="H19" s="8"/>
    </row>
    <row r="20" customFormat="false" ht="15" hidden="false" customHeight="false" outlineLevel="0" collapsed="false">
      <c r="A20" s="16"/>
      <c r="B20" s="16"/>
      <c r="C20" s="8"/>
      <c r="D20" s="16"/>
      <c r="E20" s="16"/>
      <c r="F20" s="8"/>
      <c r="G20" s="8"/>
      <c r="H20" s="8"/>
    </row>
    <row r="21" customFormat="false" ht="15" hidden="false" customHeight="false" outlineLevel="0" collapsed="false">
      <c r="A21" s="16"/>
      <c r="B21" s="16"/>
      <c r="C21" s="8"/>
      <c r="D21" s="16"/>
      <c r="E21" s="16"/>
      <c r="F21" s="8"/>
      <c r="G21" s="8"/>
      <c r="H21" s="8"/>
    </row>
    <row r="22" customFormat="false" ht="15" hidden="false" customHeight="false" outlineLevel="0" collapsed="false">
      <c r="A22" s="16"/>
      <c r="B22" s="16"/>
      <c r="C22" s="8"/>
      <c r="D22" s="16"/>
      <c r="E22" s="16"/>
      <c r="F22" s="8"/>
      <c r="G22" s="8"/>
      <c r="H22" s="8"/>
    </row>
    <row r="23" customFormat="false" ht="15" hidden="false" customHeight="false" outlineLevel="0" collapsed="false">
      <c r="A23" s="16"/>
      <c r="B23" s="16"/>
      <c r="C23" s="8"/>
      <c r="D23" s="16"/>
      <c r="E23" s="16"/>
      <c r="F23" s="8"/>
      <c r="G23" s="8"/>
      <c r="H23" s="8"/>
    </row>
    <row r="24" customFormat="false" ht="15" hidden="false" customHeight="false" outlineLevel="0" collapsed="false">
      <c r="A24" s="16"/>
      <c r="B24" s="16"/>
      <c r="C24" s="8"/>
      <c r="D24" s="16"/>
      <c r="E24" s="16"/>
      <c r="F24" s="8"/>
      <c r="G24" s="8"/>
      <c r="H24" s="8"/>
    </row>
    <row r="25" customFormat="false" ht="15" hidden="false" customHeight="false" outlineLevel="0" collapsed="false">
      <c r="A25" s="16"/>
      <c r="B25" s="16"/>
      <c r="C25" s="8"/>
      <c r="D25" s="16"/>
      <c r="E25" s="16"/>
      <c r="F25" s="8"/>
      <c r="G25" s="8"/>
      <c r="H25" s="8"/>
    </row>
    <row r="26" customFormat="false" ht="15" hidden="false" customHeight="false" outlineLevel="0" collapsed="false">
      <c r="A26" s="16"/>
      <c r="B26" s="16"/>
      <c r="C26" s="8"/>
      <c r="D26" s="16"/>
      <c r="E26" s="16"/>
      <c r="F26" s="8"/>
      <c r="G26" s="8"/>
      <c r="H26" s="8"/>
    </row>
    <row r="27" customFormat="false" ht="15" hidden="false" customHeight="false" outlineLevel="0" collapsed="false">
      <c r="A27" s="16"/>
      <c r="B27" s="16"/>
      <c r="C27" s="8"/>
      <c r="D27" s="16"/>
      <c r="E27" s="16"/>
      <c r="F27" s="8"/>
      <c r="G27" s="8"/>
      <c r="H27" s="8"/>
    </row>
    <row r="28" customFormat="false" ht="15" hidden="false" customHeight="false" outlineLevel="0" collapsed="false">
      <c r="A28" s="16"/>
      <c r="B28" s="16"/>
      <c r="C28" s="8"/>
      <c r="D28" s="16"/>
      <c r="E28" s="16"/>
      <c r="F28" s="8"/>
      <c r="G28" s="8"/>
      <c r="H28" s="8"/>
    </row>
    <row r="29" customFormat="false" ht="15" hidden="false" customHeight="false" outlineLevel="0" collapsed="false">
      <c r="A29" s="16"/>
      <c r="B29" s="16"/>
      <c r="C29" s="8"/>
      <c r="D29" s="16"/>
      <c r="E29" s="16"/>
      <c r="F29" s="8"/>
      <c r="G29" s="8"/>
      <c r="H29" s="8"/>
    </row>
    <row r="30" customFormat="false" ht="15" hidden="false" customHeight="false" outlineLevel="0" collapsed="false">
      <c r="A30" s="16"/>
      <c r="B30" s="16"/>
      <c r="C30" s="8"/>
      <c r="D30" s="16"/>
      <c r="E30" s="16"/>
      <c r="F30" s="8"/>
      <c r="G30" s="8"/>
      <c r="H30" s="8"/>
    </row>
    <row r="31" customFormat="false" ht="15" hidden="false" customHeight="false" outlineLevel="0" collapsed="false">
      <c r="A31" s="16"/>
      <c r="B31" s="16"/>
      <c r="C31" s="8"/>
      <c r="D31" s="16"/>
      <c r="E31" s="16"/>
      <c r="F31" s="8"/>
      <c r="G31" s="8"/>
      <c r="H31" s="8"/>
    </row>
    <row r="32" customFormat="false" ht="15" hidden="false" customHeight="false" outlineLevel="0" collapsed="false">
      <c r="A32" s="16"/>
      <c r="B32" s="16"/>
      <c r="C32" s="8"/>
      <c r="D32" s="16"/>
      <c r="E32" s="16"/>
      <c r="F32" s="8"/>
      <c r="G32" s="8"/>
      <c r="H32" s="8"/>
    </row>
    <row r="33" customFormat="false" ht="15" hidden="false" customHeight="false" outlineLevel="0" collapsed="false">
      <c r="A33" s="16"/>
      <c r="B33" s="16"/>
      <c r="C33" s="8"/>
      <c r="D33" s="16"/>
      <c r="E33" s="16"/>
      <c r="F33" s="8"/>
      <c r="G33" s="8"/>
      <c r="H33" s="8"/>
    </row>
    <row r="34" customFormat="false" ht="15" hidden="false" customHeight="false" outlineLevel="0" collapsed="false">
      <c r="A34" s="16"/>
      <c r="B34" s="16"/>
      <c r="C34" s="8"/>
      <c r="D34" s="16"/>
      <c r="E34" s="16"/>
      <c r="F34" s="8"/>
      <c r="G34" s="8"/>
      <c r="H34" s="8"/>
    </row>
    <row r="35" customFormat="false" ht="15" hidden="false" customHeight="false" outlineLevel="0" collapsed="false">
      <c r="A35" s="16"/>
      <c r="B35" s="16"/>
      <c r="C35" s="8"/>
      <c r="D35" s="16"/>
      <c r="E35" s="16"/>
      <c r="F35" s="8"/>
      <c r="G35" s="8"/>
      <c r="H35" s="8"/>
    </row>
    <row r="36" customFormat="false" ht="15" hidden="false" customHeight="false" outlineLevel="0" collapsed="false">
      <c r="A36" s="16"/>
      <c r="B36" s="16"/>
      <c r="C36" s="8"/>
      <c r="D36" s="16"/>
      <c r="E36" s="16"/>
      <c r="F36" s="8"/>
      <c r="G36" s="8"/>
      <c r="H36" s="8"/>
    </row>
    <row r="37" customFormat="false" ht="15" hidden="false" customHeight="false" outlineLevel="0" collapsed="false">
      <c r="A37" s="16"/>
      <c r="B37" s="16"/>
      <c r="C37" s="8"/>
      <c r="D37" s="16"/>
      <c r="E37" s="16"/>
      <c r="F37" s="8"/>
      <c r="G37" s="8"/>
      <c r="H37" s="8"/>
    </row>
    <row r="38" customFormat="false" ht="15" hidden="false" customHeight="false" outlineLevel="0" collapsed="false">
      <c r="A38" s="16"/>
      <c r="B38" s="16"/>
      <c r="C38" s="8"/>
      <c r="D38" s="16"/>
      <c r="E38" s="16"/>
      <c r="F38" s="8"/>
      <c r="G38" s="8"/>
      <c r="H38" s="8"/>
    </row>
    <row r="39" customFormat="false" ht="15" hidden="false" customHeight="false" outlineLevel="0" collapsed="false">
      <c r="A39" s="16"/>
      <c r="B39" s="16"/>
      <c r="C39" s="8"/>
      <c r="D39" s="16"/>
      <c r="E39" s="16"/>
      <c r="F39" s="8"/>
      <c r="G39" s="8"/>
      <c r="H39" s="8"/>
    </row>
    <row r="40" customFormat="false" ht="15" hidden="false" customHeight="false" outlineLevel="0" collapsed="false">
      <c r="A40" s="16"/>
      <c r="B40" s="16"/>
      <c r="C40" s="8"/>
      <c r="D40" s="16"/>
      <c r="E40" s="16"/>
      <c r="F40" s="8"/>
      <c r="G40" s="8"/>
      <c r="H40" s="8"/>
    </row>
    <row r="41" customFormat="false" ht="15" hidden="false" customHeight="false" outlineLevel="0" collapsed="false">
      <c r="A41" s="16"/>
      <c r="B41" s="16"/>
      <c r="C41" s="8"/>
      <c r="D41" s="16"/>
      <c r="E41" s="16"/>
      <c r="F41" s="8"/>
      <c r="G41" s="8"/>
      <c r="H41" s="8"/>
    </row>
    <row r="42" customFormat="false" ht="15" hidden="false" customHeight="false" outlineLevel="0" collapsed="false">
      <c r="A42" s="16"/>
      <c r="B42" s="16"/>
      <c r="C42" s="8"/>
      <c r="D42" s="16"/>
      <c r="E42" s="16"/>
      <c r="F42" s="8"/>
      <c r="G42" s="8"/>
      <c r="H42" s="8"/>
    </row>
    <row r="43" customFormat="false" ht="15" hidden="false" customHeight="false" outlineLevel="0" collapsed="false">
      <c r="A43" s="16"/>
      <c r="B43" s="16"/>
      <c r="C43" s="8"/>
      <c r="D43" s="16"/>
      <c r="E43" s="16"/>
      <c r="F43" s="8"/>
      <c r="G43" s="8"/>
      <c r="H43" s="8"/>
    </row>
    <row r="44" customFormat="false" ht="15" hidden="false" customHeight="false" outlineLevel="0" collapsed="false">
      <c r="A44" s="16"/>
      <c r="B44" s="16"/>
      <c r="C44" s="8"/>
      <c r="D44" s="16"/>
      <c r="E44" s="16"/>
      <c r="F44" s="8"/>
      <c r="G44" s="8"/>
      <c r="H44" s="8"/>
    </row>
    <row r="45" customFormat="false" ht="15" hidden="false" customHeight="false" outlineLevel="0" collapsed="false">
      <c r="A45" s="16"/>
      <c r="B45" s="16"/>
      <c r="C45" s="8"/>
      <c r="D45" s="16"/>
      <c r="E45" s="16"/>
      <c r="F45" s="8"/>
      <c r="G45" s="8"/>
      <c r="H45" s="8"/>
    </row>
    <row r="46" customFormat="false" ht="15" hidden="false" customHeight="false" outlineLevel="0" collapsed="false">
      <c r="A46" s="16"/>
      <c r="B46" s="16"/>
      <c r="C46" s="8"/>
      <c r="D46" s="16"/>
      <c r="E46" s="16"/>
      <c r="F46" s="8"/>
      <c r="G46" s="8"/>
      <c r="H46" s="8"/>
    </row>
    <row r="47" customFormat="false" ht="15" hidden="false" customHeight="false" outlineLevel="0" collapsed="false">
      <c r="A47" s="16"/>
      <c r="B47" s="16"/>
      <c r="C47" s="8"/>
      <c r="D47" s="16"/>
      <c r="E47" s="16"/>
      <c r="F47" s="8"/>
      <c r="G47" s="8"/>
      <c r="H47" s="8"/>
    </row>
    <row r="48" customFormat="false" ht="15" hidden="false" customHeight="false" outlineLevel="0" collapsed="false">
      <c r="A48" s="16"/>
      <c r="B48" s="16"/>
      <c r="C48" s="8"/>
      <c r="D48" s="16"/>
      <c r="E48" s="16"/>
      <c r="F48" s="8"/>
      <c r="G48" s="8"/>
      <c r="H48" s="8"/>
    </row>
    <row r="49" customFormat="false" ht="15" hidden="false" customHeight="false" outlineLevel="0" collapsed="false">
      <c r="A49" s="16"/>
      <c r="B49" s="16"/>
      <c r="C49" s="8"/>
      <c r="D49" s="16"/>
      <c r="E49" s="16"/>
      <c r="F49" s="8"/>
      <c r="G49" s="8"/>
      <c r="H49" s="8"/>
    </row>
    <row r="50" customFormat="false" ht="15" hidden="false" customHeight="false" outlineLevel="0" collapsed="false">
      <c r="A50" s="16"/>
      <c r="B50" s="16"/>
      <c r="C50" s="8"/>
      <c r="D50" s="16"/>
      <c r="E50" s="16"/>
      <c r="F50" s="8"/>
      <c r="G50" s="8"/>
      <c r="H50" s="8"/>
    </row>
    <row r="51" customFormat="false" ht="15" hidden="false" customHeight="false" outlineLevel="0" collapsed="false">
      <c r="A51" s="16"/>
      <c r="B51" s="16"/>
      <c r="C51" s="8"/>
      <c r="D51" s="16"/>
      <c r="E51" s="16"/>
      <c r="F51" s="8"/>
      <c r="G51" s="8"/>
      <c r="H51" s="8"/>
    </row>
    <row r="52" customFormat="false" ht="15" hidden="false" customHeight="false" outlineLevel="0" collapsed="false">
      <c r="A52" s="16"/>
      <c r="B52" s="16"/>
      <c r="C52" s="8"/>
      <c r="D52" s="16"/>
      <c r="E52" s="16"/>
      <c r="F52" s="8"/>
      <c r="G52" s="8"/>
      <c r="H52" s="8"/>
    </row>
    <row r="53" customFormat="false" ht="15" hidden="false" customHeight="false" outlineLevel="0" collapsed="false">
      <c r="A53" s="16"/>
      <c r="B53" s="16"/>
      <c r="C53" s="8"/>
      <c r="D53" s="16"/>
      <c r="E53" s="16"/>
      <c r="F53" s="8"/>
      <c r="G53" s="8"/>
      <c r="H53" s="8"/>
    </row>
    <row r="54" customFormat="false" ht="15" hidden="false" customHeight="false" outlineLevel="0" collapsed="false">
      <c r="A54" s="16"/>
      <c r="B54" s="16"/>
      <c r="C54" s="8"/>
      <c r="D54" s="16"/>
      <c r="E54" s="16"/>
      <c r="F54" s="8"/>
      <c r="G54" s="8"/>
      <c r="H54" s="8"/>
    </row>
    <row r="55" customFormat="false" ht="15" hidden="false" customHeight="false" outlineLevel="0" collapsed="false">
      <c r="A55" s="16"/>
      <c r="B55" s="16"/>
      <c r="C55" s="8"/>
      <c r="D55" s="16"/>
      <c r="E55" s="16"/>
      <c r="F55" s="8"/>
      <c r="G55" s="8"/>
      <c r="H55" s="8"/>
    </row>
    <row r="56" customFormat="false" ht="15" hidden="false" customHeight="false" outlineLevel="0" collapsed="false">
      <c r="A56" s="16"/>
      <c r="B56" s="16"/>
      <c r="C56" s="8"/>
      <c r="D56" s="16"/>
      <c r="E56" s="16"/>
      <c r="F56" s="8"/>
      <c r="G56" s="8"/>
      <c r="H56" s="8"/>
    </row>
    <row r="57" customFormat="false" ht="15" hidden="false" customHeight="false" outlineLevel="0" collapsed="false">
      <c r="A57" s="16"/>
      <c r="B57" s="16"/>
      <c r="C57" s="8"/>
      <c r="D57" s="16"/>
      <c r="E57" s="16"/>
      <c r="F57" s="8"/>
      <c r="G57" s="8"/>
      <c r="H57" s="8"/>
    </row>
    <row r="58" customFormat="false" ht="15" hidden="false" customHeight="false" outlineLevel="0" collapsed="false">
      <c r="A58" s="16"/>
      <c r="B58" s="16"/>
      <c r="C58" s="8"/>
      <c r="D58" s="16"/>
      <c r="E58" s="16"/>
      <c r="F58" s="8"/>
      <c r="G58" s="8"/>
      <c r="H58" s="8"/>
    </row>
    <row r="59" customFormat="false" ht="15" hidden="false" customHeight="false" outlineLevel="0" collapsed="false">
      <c r="A59" s="16"/>
      <c r="B59" s="16"/>
      <c r="C59" s="8"/>
      <c r="D59" s="16"/>
      <c r="E59" s="16"/>
      <c r="F59" s="8"/>
      <c r="G59" s="8"/>
      <c r="H59" s="8"/>
    </row>
    <row r="60" customFormat="false" ht="15" hidden="false" customHeight="false" outlineLevel="0" collapsed="false">
      <c r="A60" s="16"/>
      <c r="B60" s="16"/>
      <c r="C60" s="8"/>
      <c r="D60" s="16"/>
      <c r="E60" s="16"/>
      <c r="F60" s="8"/>
      <c r="G60" s="8"/>
      <c r="H60" s="8"/>
    </row>
    <row r="61" customFormat="false" ht="15" hidden="false" customHeight="false" outlineLevel="0" collapsed="false">
      <c r="A61" s="16"/>
      <c r="B61" s="16"/>
      <c r="C61" s="8"/>
      <c r="D61" s="16"/>
      <c r="E61" s="16"/>
      <c r="F61" s="8"/>
      <c r="G61" s="8"/>
      <c r="H61" s="8"/>
    </row>
    <row r="62" customFormat="false" ht="15" hidden="false" customHeight="false" outlineLevel="0" collapsed="false">
      <c r="A62" s="16"/>
      <c r="B62" s="16"/>
      <c r="C62" s="8"/>
      <c r="D62" s="16"/>
      <c r="E62" s="16"/>
      <c r="F62" s="8"/>
      <c r="G62" s="8"/>
      <c r="H62" s="8"/>
    </row>
    <row r="63" customFormat="false" ht="15" hidden="false" customHeight="false" outlineLevel="0" collapsed="false">
      <c r="A63" s="16"/>
      <c r="B63" s="16"/>
      <c r="C63" s="8"/>
      <c r="D63" s="16"/>
      <c r="E63" s="16"/>
      <c r="F63" s="8"/>
      <c r="G63" s="8"/>
      <c r="H63" s="8"/>
    </row>
    <row r="64" customFormat="false" ht="15" hidden="false" customHeight="false" outlineLevel="0" collapsed="false">
      <c r="A64" s="16"/>
      <c r="B64" s="16"/>
      <c r="C64" s="8"/>
      <c r="D64" s="16"/>
      <c r="E64" s="16"/>
      <c r="F64" s="8"/>
      <c r="G64" s="8"/>
      <c r="H64" s="8"/>
    </row>
    <row r="65" customFormat="false" ht="15" hidden="false" customHeight="false" outlineLevel="0" collapsed="false">
      <c r="A65" s="16"/>
      <c r="B65" s="16"/>
      <c r="C65" s="8"/>
      <c r="D65" s="16"/>
      <c r="E65" s="16"/>
      <c r="F65" s="8"/>
      <c r="G65" s="8"/>
      <c r="H65" s="8"/>
    </row>
    <row r="66" customFormat="false" ht="15" hidden="false" customHeight="false" outlineLevel="0" collapsed="false">
      <c r="A66" s="16"/>
      <c r="B66" s="16"/>
      <c r="C66" s="8"/>
      <c r="D66" s="16"/>
      <c r="E66" s="16"/>
      <c r="F66" s="8"/>
      <c r="G66" s="8"/>
      <c r="H66" s="8"/>
    </row>
    <row r="67" customFormat="false" ht="15" hidden="false" customHeight="false" outlineLevel="0" collapsed="false">
      <c r="A67" s="16"/>
      <c r="B67" s="16"/>
      <c r="C67" s="8"/>
      <c r="D67" s="16"/>
      <c r="E67" s="16"/>
      <c r="F67" s="8"/>
      <c r="G67" s="8"/>
      <c r="H67" s="8"/>
    </row>
    <row r="68" customFormat="false" ht="15" hidden="false" customHeight="false" outlineLevel="0" collapsed="false">
      <c r="A68" s="16"/>
      <c r="B68" s="16"/>
      <c r="C68" s="8"/>
      <c r="D68" s="16"/>
      <c r="E68" s="16"/>
      <c r="F68" s="8"/>
      <c r="G68" s="8"/>
      <c r="H68" s="8"/>
    </row>
    <row r="69" customFormat="false" ht="15" hidden="false" customHeight="false" outlineLevel="0" collapsed="false">
      <c r="A69" s="16"/>
      <c r="B69" s="16"/>
      <c r="C69" s="8"/>
      <c r="D69" s="16"/>
      <c r="E69" s="16"/>
      <c r="F69" s="8"/>
      <c r="G69" s="8"/>
      <c r="H69" s="8"/>
    </row>
    <row r="70" customFormat="false" ht="15" hidden="false" customHeight="false" outlineLevel="0" collapsed="false">
      <c r="A70" s="16"/>
      <c r="B70" s="16"/>
      <c r="C70" s="8"/>
      <c r="D70" s="16"/>
      <c r="E70" s="16"/>
      <c r="F70" s="8"/>
      <c r="G70" s="8"/>
      <c r="H70" s="8"/>
    </row>
    <row r="71" customFormat="false" ht="15" hidden="false" customHeight="false" outlineLevel="0" collapsed="false">
      <c r="A71" s="16"/>
      <c r="B71" s="16"/>
      <c r="C71" s="8"/>
      <c r="D71" s="16"/>
      <c r="E71" s="16"/>
      <c r="F71" s="8"/>
      <c r="G71" s="8"/>
      <c r="H71" s="8"/>
    </row>
    <row r="72" customFormat="false" ht="15" hidden="false" customHeight="false" outlineLevel="0" collapsed="false">
      <c r="A72" s="16"/>
      <c r="B72" s="16"/>
      <c r="C72" s="8"/>
      <c r="D72" s="16"/>
      <c r="E72" s="16"/>
      <c r="F72" s="8"/>
      <c r="G72" s="8"/>
      <c r="H72" s="8"/>
    </row>
    <row r="73" customFormat="false" ht="15" hidden="false" customHeight="false" outlineLevel="0" collapsed="false">
      <c r="A73" s="16"/>
      <c r="B73" s="16"/>
      <c r="C73" s="8"/>
      <c r="D73" s="16"/>
      <c r="E73" s="16"/>
      <c r="F73" s="8"/>
      <c r="G73" s="8"/>
      <c r="H73" s="8"/>
    </row>
    <row r="74" customFormat="false" ht="15" hidden="false" customHeight="false" outlineLevel="0" collapsed="false">
      <c r="A74" s="16"/>
      <c r="B74" s="16"/>
      <c r="C74" s="8"/>
      <c r="D74" s="16"/>
      <c r="E74" s="16"/>
      <c r="F74" s="8"/>
      <c r="G74" s="8"/>
      <c r="H74" s="8"/>
    </row>
    <row r="75" customFormat="false" ht="15" hidden="false" customHeight="false" outlineLevel="0" collapsed="false">
      <c r="A75" s="16"/>
      <c r="B75" s="16"/>
      <c r="C75" s="8"/>
      <c r="D75" s="16"/>
      <c r="E75" s="16"/>
      <c r="F75" s="8"/>
      <c r="G75" s="8"/>
      <c r="H75" s="8"/>
    </row>
    <row r="76" customFormat="false" ht="15" hidden="false" customHeight="false" outlineLevel="0" collapsed="false">
      <c r="A76" s="16"/>
      <c r="B76" s="16"/>
      <c r="C76" s="8"/>
      <c r="D76" s="16"/>
      <c r="E76" s="16"/>
      <c r="F76" s="8"/>
      <c r="G76" s="8"/>
      <c r="H76" s="8"/>
    </row>
    <row r="77" customFormat="false" ht="15" hidden="false" customHeight="false" outlineLevel="0" collapsed="false">
      <c r="A77" s="16"/>
      <c r="B77" s="16"/>
      <c r="C77" s="8"/>
      <c r="D77" s="16"/>
      <c r="E77" s="16"/>
      <c r="F77" s="8"/>
      <c r="G77" s="8"/>
      <c r="H77" s="8"/>
    </row>
    <row r="78" customFormat="false" ht="15" hidden="false" customHeight="false" outlineLevel="0" collapsed="false">
      <c r="A78" s="16"/>
      <c r="B78" s="16"/>
      <c r="C78" s="8"/>
      <c r="D78" s="16"/>
      <c r="E78" s="16"/>
      <c r="F78" s="8"/>
      <c r="G78" s="8"/>
      <c r="H78" s="8"/>
    </row>
    <row r="79" customFormat="false" ht="15" hidden="false" customHeight="false" outlineLevel="0" collapsed="false">
      <c r="A79" s="16"/>
      <c r="B79" s="16"/>
      <c r="C79" s="8"/>
      <c r="D79" s="16"/>
      <c r="E79" s="16"/>
      <c r="F79" s="8"/>
      <c r="G79" s="8"/>
      <c r="H79" s="8"/>
    </row>
    <row r="80" customFormat="false" ht="15" hidden="false" customHeight="false" outlineLevel="0" collapsed="false">
      <c r="A80" s="16"/>
      <c r="B80" s="16"/>
      <c r="C80" s="8"/>
      <c r="D80" s="16"/>
      <c r="E80" s="16"/>
      <c r="F80" s="8"/>
      <c r="G80" s="8"/>
      <c r="H80" s="8"/>
    </row>
    <row r="81" customFormat="false" ht="15" hidden="false" customHeight="false" outlineLevel="0" collapsed="false">
      <c r="A81" s="16"/>
      <c r="B81" s="16"/>
      <c r="C81" s="8"/>
      <c r="D81" s="16"/>
      <c r="E81" s="16"/>
      <c r="F81" s="8"/>
      <c r="G81" s="8"/>
      <c r="H81" s="8"/>
    </row>
    <row r="82" customFormat="false" ht="15" hidden="false" customHeight="false" outlineLevel="0" collapsed="false">
      <c r="A82" s="16"/>
      <c r="B82" s="16"/>
      <c r="C82" s="8"/>
      <c r="D82" s="16"/>
      <c r="E82" s="16"/>
      <c r="F82" s="8"/>
      <c r="G82" s="8"/>
      <c r="H82" s="8"/>
    </row>
    <row r="83" customFormat="false" ht="15" hidden="false" customHeight="false" outlineLevel="0" collapsed="false">
      <c r="A83" s="16"/>
      <c r="B83" s="16"/>
      <c r="C83" s="8"/>
      <c r="D83" s="16"/>
      <c r="E83" s="16"/>
      <c r="F83" s="8"/>
      <c r="G83" s="8"/>
      <c r="H83" s="8"/>
    </row>
    <row r="84" customFormat="false" ht="15" hidden="false" customHeight="false" outlineLevel="0" collapsed="false">
      <c r="A84" s="16"/>
      <c r="B84" s="16"/>
      <c r="C84" s="8"/>
      <c r="D84" s="16"/>
      <c r="E84" s="16"/>
      <c r="F84" s="8"/>
      <c r="G84" s="8"/>
      <c r="H84" s="8"/>
    </row>
    <row r="85" customFormat="false" ht="15" hidden="false" customHeight="false" outlineLevel="0" collapsed="false">
      <c r="A85" s="16"/>
      <c r="B85" s="16"/>
      <c r="C85" s="8"/>
      <c r="D85" s="16"/>
      <c r="E85" s="16"/>
      <c r="F85" s="8"/>
      <c r="G85" s="8"/>
      <c r="H85" s="8"/>
    </row>
    <row r="86" customFormat="false" ht="15" hidden="false" customHeight="false" outlineLevel="0" collapsed="false">
      <c r="A86" s="16"/>
      <c r="B86" s="16"/>
      <c r="C86" s="8"/>
      <c r="D86" s="16"/>
      <c r="E86" s="16"/>
      <c r="F86" s="8"/>
      <c r="G86" s="8"/>
      <c r="H86" s="8"/>
    </row>
    <row r="87" customFormat="false" ht="15" hidden="false" customHeight="false" outlineLevel="0" collapsed="false">
      <c r="A87" s="16"/>
      <c r="B87" s="16"/>
      <c r="C87" s="8"/>
      <c r="D87" s="16"/>
      <c r="E87" s="16"/>
      <c r="F87" s="8"/>
      <c r="G87" s="8"/>
      <c r="H87" s="8"/>
    </row>
    <row r="88" customFormat="false" ht="15" hidden="false" customHeight="false" outlineLevel="0" collapsed="false">
      <c r="A88" s="16"/>
      <c r="B88" s="16"/>
      <c r="C88" s="8"/>
      <c r="D88" s="16"/>
      <c r="E88" s="16"/>
      <c r="F88" s="8"/>
      <c r="G88" s="8"/>
      <c r="H88" s="8"/>
    </row>
    <row r="89" customFormat="false" ht="15" hidden="false" customHeight="false" outlineLevel="0" collapsed="false">
      <c r="A89" s="16"/>
      <c r="B89" s="16"/>
      <c r="C89" s="8"/>
      <c r="D89" s="16"/>
      <c r="E89" s="16"/>
      <c r="F89" s="8"/>
      <c r="G89" s="8"/>
      <c r="H89" s="8"/>
    </row>
    <row r="90" customFormat="false" ht="15" hidden="false" customHeight="false" outlineLevel="0" collapsed="false">
      <c r="A90" s="16"/>
      <c r="B90" s="16"/>
      <c r="C90" s="8"/>
      <c r="D90" s="16"/>
      <c r="E90" s="16"/>
      <c r="F90" s="8"/>
      <c r="G90" s="8"/>
      <c r="H90" s="8"/>
    </row>
    <row r="91" customFormat="false" ht="15" hidden="false" customHeight="false" outlineLevel="0" collapsed="false">
      <c r="A91" s="16"/>
      <c r="B91" s="16"/>
      <c r="C91" s="8"/>
      <c r="D91" s="16"/>
      <c r="E91" s="16"/>
      <c r="F91" s="8"/>
      <c r="G91" s="8"/>
      <c r="H91" s="8"/>
    </row>
    <row r="92" customFormat="false" ht="15" hidden="false" customHeight="false" outlineLevel="0" collapsed="false">
      <c r="A92" s="16"/>
      <c r="B92" s="16"/>
      <c r="C92" s="8"/>
      <c r="D92" s="16"/>
      <c r="E92" s="16"/>
      <c r="F92" s="8"/>
      <c r="G92" s="8"/>
      <c r="H92" s="8"/>
    </row>
    <row r="93" customFormat="false" ht="15" hidden="false" customHeight="false" outlineLevel="0" collapsed="false">
      <c r="A93" s="16"/>
      <c r="B93" s="16"/>
      <c r="C93" s="8"/>
      <c r="D93" s="16"/>
      <c r="E93" s="16"/>
      <c r="F93" s="8"/>
      <c r="G93" s="8"/>
      <c r="H93" s="8"/>
    </row>
    <row r="94" customFormat="false" ht="15" hidden="false" customHeight="false" outlineLevel="0" collapsed="false">
      <c r="A94" s="16"/>
      <c r="B94" s="16"/>
      <c r="C94" s="8"/>
      <c r="D94" s="16"/>
      <c r="E94" s="16"/>
      <c r="F94" s="8"/>
      <c r="G94" s="8"/>
      <c r="H94" s="8"/>
    </row>
    <row r="95" customFormat="false" ht="15" hidden="false" customHeight="false" outlineLevel="0" collapsed="false">
      <c r="A95" s="16"/>
      <c r="B95" s="16"/>
      <c r="C95" s="8"/>
      <c r="D95" s="16"/>
      <c r="E95" s="16"/>
      <c r="F95" s="8"/>
      <c r="G95" s="8"/>
      <c r="H95" s="8"/>
    </row>
    <row r="96" customFormat="false" ht="15" hidden="false" customHeight="false" outlineLevel="0" collapsed="false">
      <c r="A96" s="16"/>
      <c r="B96" s="16"/>
      <c r="C96" s="8"/>
      <c r="D96" s="16"/>
      <c r="E96" s="16"/>
      <c r="F96" s="8"/>
      <c r="G96" s="8"/>
      <c r="H96" s="8"/>
    </row>
    <row r="97" customFormat="false" ht="15" hidden="false" customHeight="false" outlineLevel="0" collapsed="false">
      <c r="A97" s="16"/>
      <c r="B97" s="16"/>
      <c r="C97" s="8"/>
      <c r="D97" s="16"/>
      <c r="E97" s="16"/>
      <c r="F97" s="8"/>
      <c r="G97" s="8"/>
      <c r="H97" s="8"/>
    </row>
    <row r="98" customFormat="false" ht="15" hidden="false" customHeight="false" outlineLevel="0" collapsed="false">
      <c r="A98" s="16"/>
      <c r="B98" s="16"/>
      <c r="C98" s="8"/>
      <c r="D98" s="16"/>
      <c r="E98" s="16"/>
      <c r="F98" s="8"/>
      <c r="G98" s="8"/>
      <c r="H98" s="8"/>
    </row>
    <row r="99" customFormat="false" ht="15" hidden="false" customHeight="false" outlineLevel="0" collapsed="false">
      <c r="A99" s="16"/>
      <c r="B99" s="16"/>
      <c r="C99" s="8"/>
      <c r="D99" s="16"/>
      <c r="E99" s="16"/>
      <c r="F99" s="8"/>
      <c r="G99" s="8"/>
      <c r="H99" s="8"/>
    </row>
    <row r="100" customFormat="false" ht="15" hidden="false" customHeight="false" outlineLevel="0" collapsed="false">
      <c r="A100" s="16"/>
      <c r="B100" s="16"/>
      <c r="C100" s="8"/>
      <c r="D100" s="16"/>
      <c r="E100" s="16"/>
      <c r="F100" s="8"/>
      <c r="G100" s="8"/>
      <c r="H100" s="8"/>
    </row>
    <row r="101" customFormat="false" ht="15" hidden="false" customHeight="false" outlineLevel="0" collapsed="false">
      <c r="A101" s="16"/>
      <c r="B101" s="16"/>
      <c r="C101" s="8"/>
      <c r="D101" s="16"/>
      <c r="E101" s="16"/>
      <c r="F101" s="8"/>
      <c r="G101" s="8"/>
      <c r="H101" s="8"/>
    </row>
    <row r="102" customFormat="false" ht="15" hidden="false" customHeight="false" outlineLevel="0" collapsed="false">
      <c r="A102" s="16"/>
      <c r="B102" s="16"/>
      <c r="C102" s="8"/>
      <c r="D102" s="16"/>
      <c r="E102" s="16"/>
      <c r="F102" s="8"/>
      <c r="G102" s="8"/>
      <c r="H102" s="8"/>
    </row>
    <row r="103" customFormat="false" ht="15" hidden="false" customHeight="false" outlineLevel="0" collapsed="false">
      <c r="A103" s="16"/>
      <c r="B103" s="16"/>
      <c r="C103" s="8"/>
      <c r="D103" s="16"/>
      <c r="E103" s="16"/>
      <c r="F103" s="8"/>
      <c r="G103" s="8"/>
      <c r="H103" s="8"/>
    </row>
    <row r="104" customFormat="false" ht="15" hidden="false" customHeight="false" outlineLevel="0" collapsed="false">
      <c r="A104" s="16"/>
      <c r="B104" s="16"/>
      <c r="C104" s="8"/>
      <c r="D104" s="16"/>
      <c r="E104" s="16"/>
      <c r="F104" s="8"/>
      <c r="G104" s="8"/>
      <c r="H104" s="8"/>
    </row>
    <row r="105" customFormat="false" ht="15" hidden="false" customHeight="false" outlineLevel="0" collapsed="false">
      <c r="A105" s="16"/>
      <c r="B105" s="16"/>
      <c r="C105" s="8"/>
      <c r="D105" s="16"/>
      <c r="E105" s="16"/>
      <c r="F105" s="8"/>
      <c r="G105" s="8"/>
      <c r="H105" s="8"/>
    </row>
    <row r="106" customFormat="false" ht="15" hidden="false" customHeight="false" outlineLevel="0" collapsed="false">
      <c r="A106" s="16"/>
      <c r="B106" s="16"/>
      <c r="C106" s="8"/>
      <c r="D106" s="16"/>
      <c r="E106" s="16"/>
      <c r="F106" s="8"/>
      <c r="G106" s="8"/>
      <c r="H106" s="8"/>
    </row>
    <row r="107" customFormat="false" ht="15" hidden="false" customHeight="false" outlineLevel="0" collapsed="false">
      <c r="A107" s="16"/>
      <c r="B107" s="16"/>
      <c r="C107" s="8"/>
      <c r="D107" s="16"/>
      <c r="E107" s="16"/>
      <c r="F107" s="8"/>
      <c r="G107" s="8"/>
      <c r="H107" s="8"/>
    </row>
    <row r="108" customFormat="false" ht="15" hidden="false" customHeight="false" outlineLevel="0" collapsed="false">
      <c r="A108" s="16"/>
      <c r="B108" s="16"/>
      <c r="C108" s="8"/>
      <c r="D108" s="16"/>
      <c r="E108" s="16"/>
      <c r="F108" s="8"/>
      <c r="G108" s="8"/>
      <c r="H108" s="8"/>
    </row>
    <row r="109" customFormat="false" ht="15" hidden="false" customHeight="false" outlineLevel="0" collapsed="false">
      <c r="A109" s="16"/>
      <c r="B109" s="16"/>
      <c r="C109" s="8"/>
      <c r="D109" s="16"/>
      <c r="E109" s="16"/>
      <c r="F109" s="8"/>
      <c r="G109" s="8"/>
      <c r="H109" s="8"/>
    </row>
    <row r="110" customFormat="false" ht="15" hidden="false" customHeight="false" outlineLevel="0" collapsed="false">
      <c r="A110" s="16"/>
      <c r="B110" s="16"/>
      <c r="C110" s="8"/>
      <c r="D110" s="16"/>
      <c r="E110" s="16"/>
      <c r="F110" s="8"/>
      <c r="G110" s="8"/>
      <c r="H110" s="8"/>
    </row>
    <row r="111" customFormat="false" ht="15" hidden="false" customHeight="false" outlineLevel="0" collapsed="false">
      <c r="A111" s="16"/>
      <c r="B111" s="16"/>
      <c r="C111" s="8"/>
      <c r="D111" s="16"/>
      <c r="E111" s="16"/>
      <c r="F111" s="8"/>
      <c r="G111" s="8"/>
      <c r="H111" s="8"/>
    </row>
    <row r="112" customFormat="false" ht="15" hidden="false" customHeight="false" outlineLevel="0" collapsed="false">
      <c r="A112" s="16"/>
      <c r="B112" s="16"/>
      <c r="C112" s="8"/>
      <c r="D112" s="16"/>
      <c r="E112" s="16"/>
      <c r="F112" s="8"/>
      <c r="G112" s="8"/>
      <c r="H112" s="8"/>
    </row>
    <row r="113" customFormat="false" ht="15" hidden="false" customHeight="false" outlineLevel="0" collapsed="false">
      <c r="A113" s="16"/>
      <c r="B113" s="16"/>
      <c r="C113" s="8"/>
      <c r="D113" s="16"/>
      <c r="E113" s="16"/>
      <c r="F113" s="8"/>
      <c r="G113" s="8"/>
      <c r="H113" s="8"/>
    </row>
    <row r="114" customFormat="false" ht="15" hidden="false" customHeight="false" outlineLevel="0" collapsed="false">
      <c r="A114" s="16"/>
      <c r="B114" s="16"/>
      <c r="C114" s="8"/>
      <c r="D114" s="16"/>
      <c r="E114" s="16"/>
      <c r="F114" s="8"/>
      <c r="G114" s="8"/>
      <c r="H114" s="8"/>
    </row>
    <row r="115" customFormat="false" ht="15" hidden="false" customHeight="false" outlineLevel="0" collapsed="false">
      <c r="A115" s="16"/>
      <c r="B115" s="16"/>
      <c r="C115" s="8"/>
      <c r="D115" s="16"/>
      <c r="E115" s="16"/>
      <c r="F115" s="8"/>
      <c r="G115" s="8"/>
      <c r="H115" s="8"/>
    </row>
    <row r="116" customFormat="false" ht="15" hidden="false" customHeight="false" outlineLevel="0" collapsed="false">
      <c r="A116" s="16"/>
      <c r="B116" s="16"/>
      <c r="C116" s="8"/>
      <c r="D116" s="16"/>
      <c r="E116" s="16"/>
      <c r="F116" s="8"/>
      <c r="G116" s="8"/>
      <c r="H116" s="8"/>
    </row>
    <row r="117" customFormat="false" ht="15" hidden="false" customHeight="false" outlineLevel="0" collapsed="false">
      <c r="A117" s="16"/>
      <c r="B117" s="16"/>
      <c r="C117" s="8"/>
      <c r="D117" s="16"/>
      <c r="E117" s="16"/>
      <c r="F117" s="8"/>
      <c r="G117" s="8"/>
      <c r="H117" s="8"/>
    </row>
    <row r="118" customFormat="false" ht="15" hidden="false" customHeight="false" outlineLevel="0" collapsed="false">
      <c r="A118" s="16"/>
      <c r="B118" s="16"/>
      <c r="C118" s="8"/>
      <c r="D118" s="16"/>
      <c r="E118" s="16"/>
      <c r="F118" s="8"/>
      <c r="G118" s="8"/>
      <c r="H118" s="8"/>
    </row>
    <row r="119" customFormat="false" ht="15" hidden="false" customHeight="false" outlineLevel="0" collapsed="false">
      <c r="A119" s="16"/>
      <c r="B119" s="16"/>
      <c r="C119" s="8"/>
      <c r="D119" s="16"/>
      <c r="E119" s="16"/>
      <c r="F119" s="8"/>
      <c r="G119" s="8"/>
      <c r="H119" s="8"/>
    </row>
    <row r="120" customFormat="false" ht="15" hidden="false" customHeight="false" outlineLevel="0" collapsed="false">
      <c r="A120" s="16"/>
      <c r="B120" s="16"/>
      <c r="C120" s="8"/>
      <c r="D120" s="16"/>
      <c r="E120" s="16"/>
      <c r="F120" s="8"/>
      <c r="G120" s="8"/>
      <c r="H120" s="8"/>
    </row>
    <row r="121" customFormat="false" ht="15" hidden="false" customHeight="false" outlineLevel="0" collapsed="false">
      <c r="A121" s="16"/>
      <c r="B121" s="16"/>
      <c r="C121" s="8"/>
      <c r="D121" s="16"/>
      <c r="E121" s="16"/>
      <c r="F121" s="8"/>
      <c r="G121" s="8"/>
      <c r="H121" s="8"/>
    </row>
    <row r="122" customFormat="false" ht="15" hidden="false" customHeight="false" outlineLevel="0" collapsed="false">
      <c r="A122" s="16"/>
      <c r="B122" s="16"/>
      <c r="C122" s="8"/>
      <c r="D122" s="16"/>
      <c r="E122" s="16"/>
      <c r="F122" s="8"/>
      <c r="G122" s="8"/>
      <c r="H122" s="8"/>
    </row>
    <row r="123" customFormat="false" ht="15" hidden="false" customHeight="false" outlineLevel="0" collapsed="false">
      <c r="A123" s="16"/>
      <c r="B123" s="16"/>
      <c r="C123" s="8"/>
      <c r="D123" s="16"/>
      <c r="E123" s="16"/>
      <c r="F123" s="8"/>
      <c r="G123" s="8"/>
      <c r="H123" s="8"/>
    </row>
    <row r="124" customFormat="false" ht="15" hidden="false" customHeight="false" outlineLevel="0" collapsed="false">
      <c r="A124" s="16"/>
      <c r="B124" s="16"/>
      <c r="C124" s="8"/>
      <c r="D124" s="16"/>
      <c r="E124" s="16"/>
      <c r="F124" s="8"/>
      <c r="G124" s="8"/>
      <c r="H124" s="8"/>
    </row>
  </sheetData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A5:A124" type="list">
      <formula1>選項!$K$2:$K$3</formula1>
      <formula2>0</formula2>
    </dataValidation>
    <dataValidation allowBlank="true" errorStyle="stop" operator="between" showDropDown="false" showErrorMessage="false" showInputMessage="false" sqref="B5:B124" type="list">
      <formula1>選項!$B$2:$B$72</formula1>
      <formula2>0</formula2>
    </dataValidation>
    <dataValidation allowBlank="true" errorStyle="stop" operator="between" showDropDown="false" showErrorMessage="false" showInputMessage="false" sqref="D5:D124" type="list">
      <formula1>選項!$C$2:$C$6</formula1>
      <formula2>0</formula2>
    </dataValidation>
    <dataValidation allowBlank="true" errorStyle="stop" operator="between" showDropDown="false" showErrorMessage="false" showInputMessage="false" sqref="E5:E124" type="list">
      <formula1>選項!$D$2:$D$8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26"/>
  </cols>
  <sheetData>
    <row r="1" customFormat="false" ht="27.75" hidden="false" customHeight="true" outlineLevel="0" collapsed="false">
      <c r="A1" s="12" t="s">
        <v>180</v>
      </c>
      <c r="B1" s="12"/>
      <c r="C1" s="12"/>
      <c r="D1" s="12"/>
      <c r="E1" s="12"/>
      <c r="F1" s="12"/>
      <c r="G1" s="12"/>
    </row>
    <row r="2" customFormat="false" ht="36" hidden="false" customHeight="true" outlineLevel="0" collapsed="false">
      <c r="A2" s="13" t="s">
        <v>181</v>
      </c>
      <c r="B2" s="13"/>
      <c r="C2" s="13"/>
      <c r="D2" s="13"/>
      <c r="E2" s="13"/>
      <c r="F2" s="13"/>
      <c r="G2" s="13"/>
    </row>
    <row r="3" customFormat="false" ht="17.15" hidden="false" customHeight="false" outlineLevel="0" collapsed="false">
      <c r="A3" s="3" t="s">
        <v>62</v>
      </c>
      <c r="B3" s="3" t="s">
        <v>159</v>
      </c>
      <c r="C3" s="3" t="s">
        <v>160</v>
      </c>
      <c r="D3" s="3" t="s">
        <v>182</v>
      </c>
      <c r="E3" s="3" t="s">
        <v>183</v>
      </c>
      <c r="F3" s="3" t="s">
        <v>184</v>
      </c>
      <c r="G3" s="3" t="s">
        <v>151</v>
      </c>
    </row>
    <row r="4" customFormat="false" ht="17.15" hidden="false" customHeight="false" outlineLevel="0" collapsed="false">
      <c r="A4" s="10" t="s">
        <v>96</v>
      </c>
      <c r="B4" s="10" t="s">
        <v>185</v>
      </c>
      <c r="C4" s="14" t="s">
        <v>6</v>
      </c>
      <c r="D4" s="10" t="s">
        <v>186</v>
      </c>
      <c r="E4" s="10" t="s">
        <v>187</v>
      </c>
      <c r="F4" s="10" t="s">
        <v>72</v>
      </c>
      <c r="G4" s="10"/>
    </row>
    <row r="5" customFormat="false" ht="17.15" hidden="false" customHeight="false" outlineLevel="0" collapsed="false">
      <c r="A5" s="10" t="s">
        <v>89</v>
      </c>
      <c r="B5" s="10" t="s">
        <v>177</v>
      </c>
      <c r="C5" s="14" t="s">
        <v>188</v>
      </c>
      <c r="D5" s="10" t="s">
        <v>189</v>
      </c>
      <c r="E5" s="10" t="s">
        <v>187</v>
      </c>
      <c r="F5" s="10" t="s">
        <v>72</v>
      </c>
      <c r="G5" s="10" t="s">
        <v>91</v>
      </c>
    </row>
    <row r="6" customFormat="false" ht="17.15" hidden="false" customHeight="false" outlineLevel="0" collapsed="false">
      <c r="A6" s="10" t="s">
        <v>93</v>
      </c>
      <c r="B6" s="10" t="s">
        <v>190</v>
      </c>
      <c r="C6" s="14" t="s">
        <v>188</v>
      </c>
      <c r="D6" s="10" t="s">
        <v>189</v>
      </c>
      <c r="E6" s="10" t="s">
        <v>187</v>
      </c>
      <c r="F6" s="10" t="s">
        <v>72</v>
      </c>
      <c r="G6" s="10" t="s">
        <v>91</v>
      </c>
    </row>
    <row r="7" customFormat="false" ht="17.15" hidden="false" customHeight="false" outlineLevel="0" collapsed="false">
      <c r="A7" s="8" t="s">
        <v>100</v>
      </c>
      <c r="B7" s="16"/>
      <c r="C7" s="8" t="s">
        <v>191</v>
      </c>
      <c r="D7" s="8" t="s">
        <v>192</v>
      </c>
      <c r="E7" s="16" t="s">
        <v>43</v>
      </c>
      <c r="F7" s="8" t="s">
        <v>72</v>
      </c>
      <c r="G7" s="8" t="s">
        <v>193</v>
      </c>
    </row>
    <row r="8" customFormat="false" ht="17.15" hidden="false" customHeight="false" outlineLevel="0" collapsed="false">
      <c r="A8" s="8"/>
      <c r="B8" s="16"/>
      <c r="C8" s="8"/>
      <c r="D8" s="8" t="s">
        <v>194</v>
      </c>
      <c r="E8" s="8"/>
      <c r="F8" s="8"/>
      <c r="G8" s="8" t="s">
        <v>195</v>
      </c>
    </row>
    <row r="9" customFormat="false" ht="15" hidden="false" customHeight="false" outlineLevel="0" collapsed="false">
      <c r="A9" s="8"/>
      <c r="B9" s="16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16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16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16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16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16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16"/>
      <c r="C15" s="8"/>
      <c r="D15" s="8"/>
      <c r="E15" s="8"/>
      <c r="F15" s="8"/>
      <c r="G15" s="8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B4:B15" type="list">
      <formula1>選項!$C$2:$C$6</formula1>
      <formula2>0</formula2>
    </dataValidation>
    <dataValidation allowBlank="true" errorStyle="stop" operator="between" showDropDown="false" showErrorMessage="false" showInputMessage="false" sqref="F4:F15" type="list">
      <formula1>選項!$I$2:$I$3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2" t="s">
        <v>196</v>
      </c>
      <c r="B1" s="12"/>
      <c r="C1" s="12"/>
      <c r="D1" s="12"/>
      <c r="E1" s="12"/>
    </row>
    <row r="2" customFormat="false" ht="36" hidden="false" customHeight="true" outlineLevel="0" collapsed="false">
      <c r="A2" s="13" t="s">
        <v>197</v>
      </c>
      <c r="B2" s="13"/>
      <c r="C2" s="13"/>
      <c r="D2" s="13"/>
      <c r="E2" s="13"/>
    </row>
    <row r="3" customFormat="false" ht="17.15" hidden="false" customHeight="false" outlineLevel="0" collapsed="false">
      <c r="A3" s="3" t="s">
        <v>198</v>
      </c>
      <c r="B3" s="3" t="s">
        <v>159</v>
      </c>
      <c r="C3" s="3" t="s">
        <v>199</v>
      </c>
      <c r="D3" s="3" t="s">
        <v>200</v>
      </c>
      <c r="E3" s="3" t="s">
        <v>151</v>
      </c>
      <c r="G3" s="3" t="s">
        <v>145</v>
      </c>
      <c r="H3" s="3" t="s">
        <v>201</v>
      </c>
    </row>
    <row r="4" customFormat="false" ht="29.85" hidden="false" customHeight="false" outlineLevel="0" collapsed="false">
      <c r="A4" s="18" t="s">
        <v>202</v>
      </c>
      <c r="B4" s="18" t="s">
        <v>185</v>
      </c>
      <c r="C4" s="18" t="s">
        <v>191</v>
      </c>
      <c r="D4" s="18" t="s">
        <v>203</v>
      </c>
      <c r="E4" s="18"/>
      <c r="G4" s="18" t="s">
        <v>153</v>
      </c>
      <c r="H4" s="18" t="s">
        <v>204</v>
      </c>
    </row>
    <row r="5" customFormat="false" ht="15" hidden="false" customHeight="false" outlineLevel="0" collapsed="false">
      <c r="A5" s="8"/>
      <c r="B5" s="16"/>
      <c r="C5" s="16"/>
      <c r="D5" s="8"/>
      <c r="E5" s="8"/>
      <c r="G5" s="8"/>
      <c r="H5" s="8"/>
    </row>
    <row r="6" customFormat="false" ht="15" hidden="false" customHeight="false" outlineLevel="0" collapsed="false">
      <c r="A6" s="8"/>
      <c r="B6" s="16"/>
      <c r="C6" s="16"/>
      <c r="D6" s="8"/>
      <c r="E6" s="8"/>
      <c r="G6" s="8"/>
      <c r="H6" s="8"/>
    </row>
    <row r="7" customFormat="false" ht="15" hidden="false" customHeight="false" outlineLevel="0" collapsed="false">
      <c r="A7" s="8"/>
      <c r="B7" s="16"/>
      <c r="C7" s="16"/>
      <c r="D7" s="8"/>
      <c r="E7" s="8"/>
      <c r="G7" s="8"/>
      <c r="H7" s="8"/>
    </row>
    <row r="8" customFormat="false" ht="15" hidden="false" customHeight="false" outlineLevel="0" collapsed="false">
      <c r="A8" s="8"/>
      <c r="B8" s="16"/>
      <c r="C8" s="16"/>
      <c r="D8" s="8"/>
      <c r="E8" s="8"/>
      <c r="G8" s="8"/>
      <c r="H8" s="8"/>
    </row>
    <row r="9" customFormat="false" ht="15" hidden="false" customHeight="false" outlineLevel="0" collapsed="false">
      <c r="A9" s="8"/>
      <c r="B9" s="16"/>
      <c r="C9" s="16"/>
      <c r="D9" s="8"/>
      <c r="E9" s="8"/>
      <c r="G9" s="8"/>
      <c r="H9" s="8"/>
    </row>
    <row r="10" customFormat="false" ht="15" hidden="false" customHeight="false" outlineLevel="0" collapsed="false">
      <c r="A10" s="8"/>
      <c r="B10" s="16"/>
      <c r="C10" s="16"/>
      <c r="D10" s="8"/>
      <c r="E10" s="8"/>
      <c r="G10" s="8"/>
      <c r="H10" s="8"/>
    </row>
    <row r="11" customFormat="false" ht="15" hidden="false" customHeight="false" outlineLevel="0" collapsed="false">
      <c r="A11" s="8"/>
      <c r="B11" s="16"/>
      <c r="C11" s="16"/>
      <c r="D11" s="8"/>
      <c r="E11" s="8"/>
      <c r="G11" s="8"/>
      <c r="H11" s="8"/>
    </row>
    <row r="12" customFormat="false" ht="15" hidden="false" customHeight="false" outlineLevel="0" collapsed="false">
      <c r="A12" s="8"/>
      <c r="B12" s="16"/>
      <c r="C12" s="16"/>
      <c r="D12" s="8"/>
      <c r="E12" s="8"/>
      <c r="G12" s="8"/>
      <c r="H12" s="8"/>
    </row>
    <row r="13" customFormat="false" ht="15" hidden="false" customHeight="false" outlineLevel="0" collapsed="false">
      <c r="A13" s="8"/>
      <c r="B13" s="16"/>
      <c r="C13" s="16"/>
      <c r="D13" s="8"/>
      <c r="E13" s="8"/>
      <c r="G13" s="8"/>
      <c r="H13" s="8"/>
    </row>
    <row r="14" customFormat="false" ht="15" hidden="false" customHeight="false" outlineLevel="0" collapsed="false">
      <c r="A14" s="8"/>
      <c r="B14" s="16"/>
      <c r="C14" s="16"/>
      <c r="D14" s="8"/>
      <c r="E14" s="8"/>
      <c r="G14" s="8"/>
      <c r="H14" s="8"/>
    </row>
    <row r="15" customFormat="false" ht="15" hidden="false" customHeight="false" outlineLevel="0" collapsed="false">
      <c r="A15" s="8"/>
      <c r="B15" s="16"/>
      <c r="C15" s="16"/>
      <c r="D15" s="8"/>
      <c r="E15" s="8"/>
      <c r="G15" s="8"/>
      <c r="H15" s="8"/>
    </row>
    <row r="16" customFormat="false" ht="15" hidden="false" customHeight="false" outlineLevel="0" collapsed="false">
      <c r="A16" s="8"/>
      <c r="B16" s="16"/>
      <c r="C16" s="16"/>
      <c r="D16" s="8"/>
      <c r="E16" s="8"/>
      <c r="G16" s="8"/>
      <c r="H16" s="8"/>
    </row>
    <row r="17" customFormat="false" ht="15" hidden="false" customHeight="false" outlineLevel="0" collapsed="false">
      <c r="A17" s="8"/>
      <c r="B17" s="16"/>
      <c r="C17" s="16"/>
      <c r="D17" s="8"/>
      <c r="E17" s="8"/>
      <c r="G17" s="8"/>
      <c r="H17" s="8"/>
    </row>
    <row r="18" customFormat="false" ht="15" hidden="false" customHeight="false" outlineLevel="0" collapsed="false">
      <c r="A18" s="8"/>
      <c r="B18" s="16"/>
      <c r="C18" s="16"/>
      <c r="D18" s="8"/>
      <c r="E18" s="8"/>
      <c r="G18" s="8"/>
      <c r="H18" s="8"/>
    </row>
    <row r="19" customFormat="false" ht="15" hidden="false" customHeight="false" outlineLevel="0" collapsed="false">
      <c r="A19" s="8"/>
      <c r="B19" s="16"/>
      <c r="C19" s="16"/>
      <c r="D19" s="8"/>
      <c r="E19" s="8"/>
      <c r="G19" s="8"/>
      <c r="H19" s="8"/>
    </row>
    <row r="20" customFormat="false" ht="15" hidden="false" customHeight="false" outlineLevel="0" collapsed="false">
      <c r="A20" s="8"/>
      <c r="B20" s="16"/>
      <c r="C20" s="16"/>
      <c r="D20" s="8"/>
      <c r="E20" s="8"/>
      <c r="G20" s="8"/>
      <c r="H20" s="8"/>
    </row>
    <row r="21" customFormat="false" ht="15" hidden="false" customHeight="false" outlineLevel="0" collapsed="false">
      <c r="A21" s="8"/>
      <c r="B21" s="16"/>
      <c r="C21" s="16"/>
      <c r="D21" s="8"/>
      <c r="E21" s="8"/>
      <c r="G21" s="8"/>
      <c r="H21" s="8"/>
    </row>
    <row r="22" customFormat="false" ht="15" hidden="false" customHeight="false" outlineLevel="0" collapsed="false">
      <c r="A22" s="8"/>
      <c r="B22" s="16"/>
      <c r="C22" s="16"/>
      <c r="D22" s="8"/>
      <c r="E22" s="8"/>
      <c r="G22" s="8"/>
      <c r="H22" s="8"/>
    </row>
    <row r="23" customFormat="false" ht="15" hidden="false" customHeight="false" outlineLevel="0" collapsed="false">
      <c r="A23" s="8"/>
      <c r="B23" s="16"/>
      <c r="C23" s="16"/>
      <c r="D23" s="8"/>
      <c r="E23" s="8"/>
      <c r="G23" s="8"/>
      <c r="H23" s="8"/>
    </row>
    <row r="24" customFormat="false" ht="15" hidden="false" customHeight="false" outlineLevel="0" collapsed="false">
      <c r="A24" s="8"/>
      <c r="B24" s="16"/>
      <c r="C24" s="16"/>
      <c r="D24" s="8"/>
      <c r="E24" s="8"/>
      <c r="G24" s="8"/>
      <c r="H24" s="8"/>
    </row>
    <row r="25" customFormat="false" ht="15" hidden="false" customHeight="false" outlineLevel="0" collapsed="false">
      <c r="A25" s="8"/>
      <c r="B25" s="16"/>
      <c r="C25" s="16"/>
      <c r="D25" s="8"/>
      <c r="E25" s="8"/>
      <c r="G25" s="8"/>
      <c r="H25" s="8"/>
    </row>
    <row r="26" customFormat="false" ht="15" hidden="false" customHeight="false" outlineLevel="0" collapsed="false">
      <c r="A26" s="8"/>
      <c r="B26" s="16"/>
      <c r="C26" s="16"/>
      <c r="D26" s="8"/>
      <c r="E26" s="8"/>
      <c r="G26" s="8"/>
      <c r="H26" s="8"/>
    </row>
    <row r="27" customFormat="false" ht="15" hidden="false" customHeight="false" outlineLevel="0" collapsed="false">
      <c r="A27" s="8"/>
      <c r="B27" s="16"/>
      <c r="C27" s="16"/>
      <c r="D27" s="8"/>
      <c r="E27" s="8"/>
      <c r="G27" s="8"/>
      <c r="H27" s="8"/>
    </row>
    <row r="28" customFormat="false" ht="15" hidden="false" customHeight="false" outlineLevel="0" collapsed="false">
      <c r="A28" s="8"/>
      <c r="B28" s="16"/>
      <c r="C28" s="16"/>
      <c r="D28" s="8"/>
      <c r="E28" s="8"/>
      <c r="G28" s="8"/>
      <c r="H28" s="8"/>
    </row>
    <row r="29" customFormat="false" ht="15" hidden="false" customHeight="false" outlineLevel="0" collapsed="false">
      <c r="A29" s="8"/>
      <c r="B29" s="16"/>
      <c r="C29" s="16"/>
      <c r="D29" s="8"/>
      <c r="E29" s="8"/>
      <c r="G29" s="8"/>
      <c r="H29" s="8"/>
    </row>
    <row r="30" customFormat="false" ht="15" hidden="false" customHeight="false" outlineLevel="0" collapsed="false">
      <c r="A30" s="8"/>
      <c r="B30" s="16"/>
      <c r="C30" s="16"/>
      <c r="D30" s="8"/>
      <c r="E30" s="8"/>
      <c r="G30" s="8"/>
      <c r="H30" s="8"/>
    </row>
    <row r="31" customFormat="false" ht="15" hidden="false" customHeight="false" outlineLevel="0" collapsed="false">
      <c r="A31" s="8"/>
      <c r="B31" s="16"/>
      <c r="C31" s="16"/>
      <c r="D31" s="8"/>
      <c r="E31" s="8"/>
      <c r="G31" s="8"/>
      <c r="H31" s="8"/>
    </row>
    <row r="32" customFormat="false" ht="15" hidden="false" customHeight="false" outlineLevel="0" collapsed="false">
      <c r="A32" s="8"/>
      <c r="B32" s="16"/>
      <c r="C32" s="16"/>
      <c r="D32" s="8"/>
      <c r="E32" s="8"/>
      <c r="G32" s="8"/>
      <c r="H32" s="8"/>
    </row>
    <row r="33" customFormat="false" ht="15" hidden="false" customHeight="false" outlineLevel="0" collapsed="false">
      <c r="A33" s="8"/>
      <c r="B33" s="16"/>
      <c r="C33" s="16"/>
      <c r="D33" s="8"/>
      <c r="E33" s="8"/>
      <c r="G33" s="8"/>
      <c r="H33" s="8"/>
    </row>
    <row r="34" customFormat="false" ht="15" hidden="false" customHeight="false" outlineLevel="0" collapsed="false">
      <c r="A34" s="8"/>
      <c r="B34" s="16"/>
      <c r="C34" s="16"/>
      <c r="D34" s="8"/>
      <c r="E34" s="8"/>
      <c r="G34" s="8"/>
      <c r="H34" s="8"/>
    </row>
    <row r="35" customFormat="false" ht="15" hidden="false" customHeight="false" outlineLevel="0" collapsed="false">
      <c r="G35" s="8"/>
      <c r="H35" s="8"/>
    </row>
    <row r="36" customFormat="false" ht="15" hidden="false" customHeight="false" outlineLevel="0" collapsed="false">
      <c r="G36" s="8"/>
      <c r="H36" s="8"/>
    </row>
    <row r="37" customFormat="false" ht="15" hidden="false" customHeight="false" outlineLevel="0" collapsed="false">
      <c r="G37" s="8"/>
      <c r="H37" s="8"/>
    </row>
    <row r="38" customFormat="false" ht="15" hidden="false" customHeight="false" outlineLevel="0" collapsed="false">
      <c r="G38" s="8"/>
      <c r="H38" s="8"/>
    </row>
    <row r="39" customFormat="false" ht="15" hidden="false" customHeight="false" outlineLevel="0" collapsed="false">
      <c r="G39" s="8"/>
      <c r="H39" s="8"/>
    </row>
    <row r="40" customFormat="false" ht="15" hidden="false" customHeight="false" outlineLevel="0" collapsed="false">
      <c r="G40" s="8"/>
      <c r="H40" s="8"/>
    </row>
    <row r="41" customFormat="false" ht="15" hidden="false" customHeight="false" outlineLevel="0" collapsed="false">
      <c r="G41" s="8"/>
      <c r="H41" s="8"/>
    </row>
    <row r="42" customFormat="false" ht="15" hidden="false" customHeight="false" outlineLevel="0" collapsed="false">
      <c r="G42" s="8"/>
      <c r="H42" s="8"/>
    </row>
    <row r="43" customFormat="false" ht="15" hidden="false" customHeight="false" outlineLevel="0" collapsed="false">
      <c r="G43" s="8"/>
      <c r="H43" s="8"/>
    </row>
    <row r="44" customFormat="false" ht="15" hidden="false" customHeight="false" outlineLevel="0" collapsed="false">
      <c r="G44" s="8"/>
      <c r="H44" s="8"/>
    </row>
    <row r="45" customFormat="false" ht="15" hidden="false" customHeight="false" outlineLevel="0" collapsed="false">
      <c r="G45" s="8"/>
      <c r="H45" s="8"/>
    </row>
    <row r="46" customFormat="false" ht="15" hidden="false" customHeight="false" outlineLevel="0" collapsed="false">
      <c r="G46" s="8"/>
      <c r="H46" s="8"/>
    </row>
    <row r="47" customFormat="false" ht="15" hidden="false" customHeight="false" outlineLevel="0" collapsed="false">
      <c r="G47" s="8"/>
      <c r="H47" s="8"/>
    </row>
    <row r="48" customFormat="false" ht="15" hidden="false" customHeight="false" outlineLevel="0" collapsed="false">
      <c r="G48" s="8"/>
      <c r="H48" s="8"/>
    </row>
    <row r="49" customFormat="false" ht="15" hidden="false" customHeight="false" outlineLevel="0" collapsed="false">
      <c r="G49" s="8"/>
      <c r="H49" s="8"/>
    </row>
    <row r="50" customFormat="false" ht="15" hidden="false" customHeight="false" outlineLevel="0" collapsed="false">
      <c r="G50" s="8"/>
      <c r="H50" s="8"/>
    </row>
    <row r="51" customFormat="false" ht="15" hidden="false" customHeight="false" outlineLevel="0" collapsed="false">
      <c r="G51" s="8"/>
      <c r="H51" s="8"/>
    </row>
    <row r="52" customFormat="false" ht="15" hidden="false" customHeight="false" outlineLevel="0" collapsed="false">
      <c r="G52" s="8"/>
      <c r="H52" s="8"/>
    </row>
    <row r="53" customFormat="false" ht="15" hidden="false" customHeight="false" outlineLevel="0" collapsed="false">
      <c r="G53" s="8"/>
      <c r="H53" s="8"/>
    </row>
    <row r="54" customFormat="false" ht="15" hidden="false" customHeight="false" outlineLevel="0" collapsed="false">
      <c r="G54" s="8"/>
      <c r="H54" s="8"/>
    </row>
    <row r="55" customFormat="false" ht="15" hidden="false" customHeight="false" outlineLevel="0" collapsed="false">
      <c r="G55" s="8"/>
      <c r="H55" s="8"/>
    </row>
    <row r="56" customFormat="false" ht="15" hidden="false" customHeight="false" outlineLevel="0" collapsed="false">
      <c r="G56" s="8"/>
      <c r="H56" s="8"/>
    </row>
    <row r="57" customFormat="false" ht="15" hidden="false" customHeight="false" outlineLevel="0" collapsed="false">
      <c r="G57" s="8"/>
      <c r="H57" s="8"/>
    </row>
    <row r="58" customFormat="false" ht="15" hidden="false" customHeight="false" outlineLevel="0" collapsed="false">
      <c r="G58" s="8"/>
      <c r="H58" s="8"/>
    </row>
    <row r="59" customFormat="false" ht="15" hidden="false" customHeight="false" outlineLevel="0" collapsed="false">
      <c r="G59" s="8"/>
      <c r="H59" s="8"/>
    </row>
    <row r="60" customFormat="false" ht="15" hidden="false" customHeight="false" outlineLevel="0" collapsed="false">
      <c r="G60" s="8"/>
      <c r="H60" s="8"/>
    </row>
    <row r="61" customFormat="false" ht="15" hidden="false" customHeight="false" outlineLevel="0" collapsed="false">
      <c r="G61" s="8"/>
      <c r="H61" s="8"/>
    </row>
    <row r="62" customFormat="false" ht="15" hidden="false" customHeight="false" outlineLevel="0" collapsed="false">
      <c r="G62" s="8"/>
      <c r="H62" s="8"/>
    </row>
    <row r="63" customFormat="false" ht="15" hidden="false" customHeight="false" outlineLevel="0" collapsed="false">
      <c r="G63" s="8"/>
      <c r="H63" s="8"/>
    </row>
    <row r="64" customFormat="false" ht="15" hidden="false" customHeight="false" outlineLevel="0" collapsed="false">
      <c r="G64" s="8"/>
      <c r="H64" s="8"/>
    </row>
  </sheetData>
  <mergeCells count="2">
    <mergeCell ref="A1:E1"/>
    <mergeCell ref="A2:E2"/>
  </mergeCells>
  <dataValidations count="2">
    <dataValidation allowBlank="true" errorStyle="stop" operator="between" showDropDown="false" showErrorMessage="false" showInputMessage="false" sqref="B5:B34" type="list">
      <formula1>選項!$C$2:$C$6</formula1>
      <formula2>0</formula2>
    </dataValidation>
    <dataValidation allowBlank="true" errorStyle="stop" operator="between" showDropDown="false" showErrorMessage="false" showInputMessage="false" sqref="C5:C34" type="list">
      <formula1>選項!$L$2:$L$11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2" t="s">
        <v>205</v>
      </c>
      <c r="B1" s="12"/>
      <c r="C1" s="12"/>
      <c r="D1" s="12"/>
      <c r="E1" s="12"/>
    </row>
    <row r="2" customFormat="false" ht="36" hidden="false" customHeight="true" outlineLevel="0" collapsed="false">
      <c r="A2" s="13" t="s">
        <v>206</v>
      </c>
      <c r="B2" s="13"/>
      <c r="C2" s="13"/>
      <c r="D2" s="13"/>
      <c r="E2" s="13"/>
    </row>
    <row r="3" customFormat="false" ht="32.8" hidden="false" customHeight="false" outlineLevel="0" collapsed="false">
      <c r="A3" s="3" t="s">
        <v>147</v>
      </c>
      <c r="B3" s="3" t="s">
        <v>207</v>
      </c>
      <c r="C3" s="3" t="s">
        <v>208</v>
      </c>
      <c r="D3" s="3" t="s">
        <v>209</v>
      </c>
      <c r="E3" s="3" t="s">
        <v>151</v>
      </c>
      <c r="G3" s="3" t="s">
        <v>111</v>
      </c>
      <c r="H3" s="3" t="s">
        <v>210</v>
      </c>
      <c r="I3" s="3" t="s">
        <v>211</v>
      </c>
      <c r="J3" s="3" t="s">
        <v>212</v>
      </c>
      <c r="K3" s="3" t="s">
        <v>213</v>
      </c>
    </row>
    <row r="4" customFormat="false" ht="17.15" hidden="false" customHeight="false" outlineLevel="0" collapsed="false">
      <c r="A4" s="16" t="s">
        <v>214</v>
      </c>
      <c r="B4" s="8"/>
      <c r="C4" s="8"/>
      <c r="D4" s="8"/>
      <c r="E4" s="8"/>
      <c r="G4" s="8" t="s">
        <v>155</v>
      </c>
      <c r="H4" s="8"/>
      <c r="I4" s="8"/>
      <c r="J4" s="8"/>
      <c r="K4" s="8" t="s">
        <v>116</v>
      </c>
    </row>
    <row r="5" customFormat="false" ht="17.15" hidden="false" customHeight="false" outlineLevel="0" collapsed="false">
      <c r="A5" s="16" t="s">
        <v>215</v>
      </c>
      <c r="B5" s="8"/>
      <c r="C5" s="8"/>
      <c r="D5" s="8"/>
      <c r="E5" s="8"/>
      <c r="G5" s="8" t="s">
        <v>216</v>
      </c>
      <c r="H5" s="8"/>
      <c r="I5" s="8"/>
      <c r="J5" s="8"/>
      <c r="K5" s="8" t="s">
        <v>217</v>
      </c>
    </row>
    <row r="6" customFormat="false" ht="17.15" hidden="false" customHeight="false" outlineLevel="0" collapsed="false">
      <c r="A6" s="16" t="s">
        <v>218</v>
      </c>
      <c r="B6" s="8"/>
      <c r="C6" s="8"/>
      <c r="D6" s="8"/>
      <c r="E6" s="8"/>
      <c r="G6" s="8" t="s">
        <v>219</v>
      </c>
      <c r="H6" s="8" t="n">
        <v>2</v>
      </c>
      <c r="I6" s="8" t="n">
        <v>2</v>
      </c>
      <c r="J6" s="8"/>
      <c r="K6" s="8" t="s">
        <v>220</v>
      </c>
    </row>
    <row r="7" customFormat="false" ht="17.15" hidden="false" customHeight="false" outlineLevel="0" collapsed="false">
      <c r="A7" s="16" t="s">
        <v>221</v>
      </c>
      <c r="B7" s="8"/>
      <c r="C7" s="8"/>
      <c r="D7" s="8"/>
      <c r="E7" s="8"/>
      <c r="G7" s="8" t="s">
        <v>222</v>
      </c>
      <c r="H7" s="8"/>
      <c r="I7" s="8"/>
      <c r="J7" s="8"/>
      <c r="K7" s="8" t="s">
        <v>126</v>
      </c>
    </row>
    <row r="8" customFormat="false" ht="17.15" hidden="false" customHeight="false" outlineLevel="0" collapsed="false">
      <c r="A8" s="16" t="s">
        <v>223</v>
      </c>
      <c r="B8" s="8"/>
      <c r="C8" s="8"/>
      <c r="D8" s="8"/>
      <c r="E8" s="8"/>
      <c r="G8" s="8"/>
      <c r="H8" s="8"/>
      <c r="I8" s="8"/>
      <c r="J8" s="8"/>
      <c r="K8" s="8"/>
    </row>
    <row r="9" customFormat="false" ht="17.15" hidden="false" customHeight="false" outlineLevel="0" collapsed="false">
      <c r="A9" s="16" t="s">
        <v>224</v>
      </c>
      <c r="B9" s="8"/>
      <c r="C9" s="8"/>
      <c r="D9" s="8"/>
      <c r="E9" s="8"/>
      <c r="G9" s="8"/>
      <c r="H9" s="8"/>
      <c r="I9" s="8"/>
      <c r="J9" s="8"/>
      <c r="K9" s="8"/>
    </row>
    <row r="10" customFormat="false" ht="17.15" hidden="false" customHeight="false" outlineLevel="0" collapsed="false">
      <c r="A10" s="16" t="s">
        <v>225</v>
      </c>
      <c r="B10" s="8"/>
      <c r="C10" s="8"/>
      <c r="D10" s="8"/>
      <c r="E10" s="8"/>
    </row>
    <row r="11" customFormat="false" ht="17.15" hidden="false" customHeight="false" outlineLevel="0" collapsed="false">
      <c r="A11" s="16" t="s">
        <v>226</v>
      </c>
      <c r="B11" s="8"/>
      <c r="C11" s="8"/>
      <c r="D11" s="8"/>
      <c r="E11" s="8"/>
    </row>
    <row r="12" customFormat="false" ht="17.15" hidden="false" customHeight="false" outlineLevel="0" collapsed="false">
      <c r="A12" s="16" t="s">
        <v>227</v>
      </c>
      <c r="B12" s="8"/>
      <c r="C12" s="8"/>
      <c r="D12" s="8"/>
      <c r="E12" s="8"/>
    </row>
    <row r="13" customFormat="false" ht="17.15" hidden="false" customHeight="false" outlineLevel="0" collapsed="false">
      <c r="A13" s="16" t="s">
        <v>228</v>
      </c>
      <c r="B13" s="8"/>
      <c r="C13" s="8"/>
      <c r="D13" s="8"/>
      <c r="E13" s="8"/>
    </row>
    <row r="14" customFormat="false" ht="17.15" hidden="false" customHeight="false" outlineLevel="0" collapsed="false">
      <c r="A14" s="16" t="s">
        <v>229</v>
      </c>
      <c r="B14" s="8"/>
      <c r="C14" s="8"/>
      <c r="D14" s="8"/>
      <c r="E14" s="8"/>
    </row>
    <row r="15" customFormat="false" ht="17.15" hidden="false" customHeight="false" outlineLevel="0" collapsed="false">
      <c r="A15" s="16" t="s">
        <v>230</v>
      </c>
      <c r="B15" s="8"/>
      <c r="C15" s="8"/>
      <c r="D15" s="8"/>
      <c r="E15" s="8"/>
    </row>
    <row r="16" customFormat="false" ht="17.15" hidden="false" customHeight="false" outlineLevel="0" collapsed="false">
      <c r="A16" s="16" t="s">
        <v>231</v>
      </c>
      <c r="B16" s="8"/>
      <c r="C16" s="8"/>
      <c r="D16" s="8"/>
      <c r="E16" s="8"/>
    </row>
    <row r="17" customFormat="false" ht="17.15" hidden="false" customHeight="false" outlineLevel="0" collapsed="false">
      <c r="A17" s="16" t="s">
        <v>232</v>
      </c>
      <c r="B17" s="8"/>
      <c r="C17" s="8"/>
      <c r="D17" s="8"/>
      <c r="E17" s="8"/>
    </row>
    <row r="18" customFormat="false" ht="17.15" hidden="false" customHeight="false" outlineLevel="0" collapsed="false">
      <c r="A18" s="16" t="s">
        <v>233</v>
      </c>
      <c r="B18" s="8"/>
      <c r="C18" s="8"/>
      <c r="D18" s="8"/>
      <c r="E18" s="8"/>
    </row>
    <row r="19" customFormat="false" ht="17.15" hidden="false" customHeight="false" outlineLevel="0" collapsed="false">
      <c r="A19" s="16" t="s">
        <v>234</v>
      </c>
      <c r="B19" s="8"/>
      <c r="C19" s="8"/>
      <c r="D19" s="8"/>
      <c r="E19" s="8"/>
    </row>
    <row r="20" customFormat="false" ht="17.15" hidden="false" customHeight="false" outlineLevel="0" collapsed="false">
      <c r="A20" s="16" t="s">
        <v>235</v>
      </c>
      <c r="B20" s="8"/>
      <c r="C20" s="8"/>
      <c r="D20" s="8"/>
      <c r="E20" s="8"/>
    </row>
    <row r="21" customFormat="false" ht="17.15" hidden="false" customHeight="false" outlineLevel="0" collapsed="false">
      <c r="A21" s="16" t="s">
        <v>236</v>
      </c>
      <c r="B21" s="8"/>
      <c r="C21" s="8"/>
      <c r="D21" s="8"/>
      <c r="E21" s="8"/>
    </row>
    <row r="22" customFormat="false" ht="17.15" hidden="false" customHeight="false" outlineLevel="0" collapsed="false">
      <c r="A22" s="16" t="s">
        <v>237</v>
      </c>
      <c r="B22" s="8"/>
      <c r="C22" s="8"/>
      <c r="D22" s="8"/>
      <c r="E22" s="8"/>
    </row>
    <row r="23" customFormat="false" ht="17.15" hidden="false" customHeight="false" outlineLevel="0" collapsed="false">
      <c r="A23" s="16" t="s">
        <v>238</v>
      </c>
      <c r="B23" s="8"/>
      <c r="C23" s="8"/>
      <c r="D23" s="8"/>
      <c r="E23" s="8"/>
    </row>
    <row r="24" customFormat="false" ht="17.15" hidden="false" customHeight="false" outlineLevel="0" collapsed="false">
      <c r="A24" s="16" t="s">
        <v>239</v>
      </c>
      <c r="B24" s="8"/>
      <c r="C24" s="8"/>
      <c r="D24" s="8"/>
      <c r="E24" s="8"/>
    </row>
    <row r="25" customFormat="false" ht="17.15" hidden="false" customHeight="false" outlineLevel="0" collapsed="false">
      <c r="A25" s="16" t="s">
        <v>240</v>
      </c>
      <c r="B25" s="8"/>
      <c r="C25" s="8"/>
      <c r="D25" s="8"/>
      <c r="E25" s="8"/>
    </row>
    <row r="26" customFormat="false" ht="17.15" hidden="false" customHeight="false" outlineLevel="0" collapsed="false">
      <c r="A26" s="16" t="s">
        <v>241</v>
      </c>
      <c r="B26" s="8"/>
      <c r="C26" s="8"/>
      <c r="D26" s="8"/>
      <c r="E26" s="8"/>
    </row>
    <row r="27" customFormat="false" ht="17.15" hidden="false" customHeight="false" outlineLevel="0" collapsed="false">
      <c r="A27" s="16" t="s">
        <v>242</v>
      </c>
      <c r="B27" s="8"/>
      <c r="C27" s="8"/>
      <c r="D27" s="8"/>
      <c r="E27" s="8"/>
    </row>
    <row r="28" customFormat="false" ht="17.15" hidden="false" customHeight="false" outlineLevel="0" collapsed="false">
      <c r="A28" s="16" t="s">
        <v>243</v>
      </c>
      <c r="B28" s="8"/>
      <c r="C28" s="8"/>
      <c r="D28" s="8"/>
      <c r="E28" s="8"/>
    </row>
    <row r="29" customFormat="false" ht="17.15" hidden="false" customHeight="false" outlineLevel="0" collapsed="false">
      <c r="A29" s="16" t="s">
        <v>244</v>
      </c>
      <c r="B29" s="8"/>
      <c r="C29" s="8"/>
      <c r="D29" s="8"/>
      <c r="E29" s="8"/>
    </row>
    <row r="30" customFormat="false" ht="17.15" hidden="false" customHeight="false" outlineLevel="0" collapsed="false">
      <c r="A30" s="16" t="s">
        <v>245</v>
      </c>
      <c r="B30" s="8"/>
      <c r="C30" s="8"/>
      <c r="D30" s="8"/>
      <c r="E30" s="8"/>
    </row>
    <row r="31" customFormat="false" ht="17.15" hidden="false" customHeight="false" outlineLevel="0" collapsed="false">
      <c r="A31" s="16" t="s">
        <v>246</v>
      </c>
      <c r="B31" s="8"/>
      <c r="C31" s="8"/>
      <c r="D31" s="8"/>
      <c r="E31" s="8"/>
    </row>
    <row r="32" customFormat="false" ht="17.15" hidden="false" customHeight="false" outlineLevel="0" collapsed="false">
      <c r="A32" s="16" t="s">
        <v>247</v>
      </c>
      <c r="B32" s="8"/>
      <c r="C32" s="8"/>
      <c r="D32" s="8"/>
      <c r="E32" s="8"/>
    </row>
    <row r="33" customFormat="false" ht="17.15" hidden="false" customHeight="false" outlineLevel="0" collapsed="false">
      <c r="A33" s="16" t="s">
        <v>248</v>
      </c>
      <c r="B33" s="8"/>
      <c r="C33" s="8"/>
      <c r="D33" s="8"/>
      <c r="E33" s="8"/>
    </row>
    <row r="34" customFormat="false" ht="17.15" hidden="false" customHeight="false" outlineLevel="0" collapsed="false">
      <c r="A34" s="16" t="s">
        <v>249</v>
      </c>
      <c r="B34" s="8"/>
      <c r="C34" s="8"/>
      <c r="D34" s="8"/>
      <c r="E34" s="8"/>
    </row>
    <row r="35" customFormat="false" ht="17.15" hidden="false" customHeight="false" outlineLevel="0" collapsed="false">
      <c r="A35" s="16" t="s">
        <v>250</v>
      </c>
      <c r="B35" s="8"/>
      <c r="C35" s="8"/>
      <c r="D35" s="8"/>
      <c r="E35" s="8"/>
    </row>
    <row r="36" customFormat="false" ht="17.15" hidden="false" customHeight="false" outlineLevel="0" collapsed="false">
      <c r="A36" s="16" t="s">
        <v>251</v>
      </c>
      <c r="B36" s="8"/>
      <c r="C36" s="8"/>
      <c r="D36" s="8"/>
      <c r="E36" s="8"/>
    </row>
    <row r="37" customFormat="false" ht="17.15" hidden="false" customHeight="false" outlineLevel="0" collapsed="false">
      <c r="A37" s="16" t="s">
        <v>252</v>
      </c>
      <c r="B37" s="8"/>
      <c r="C37" s="8"/>
      <c r="D37" s="8"/>
      <c r="E37" s="8"/>
    </row>
    <row r="38" customFormat="false" ht="17.15" hidden="false" customHeight="false" outlineLevel="0" collapsed="false">
      <c r="A38" s="16" t="s">
        <v>253</v>
      </c>
      <c r="B38" s="8"/>
      <c r="C38" s="8"/>
      <c r="D38" s="8"/>
      <c r="E38" s="8"/>
    </row>
    <row r="39" customFormat="false" ht="17.15" hidden="false" customHeight="false" outlineLevel="0" collapsed="false">
      <c r="A39" s="16" t="s">
        <v>254</v>
      </c>
      <c r="B39" s="8"/>
      <c r="C39" s="8"/>
      <c r="D39" s="8"/>
      <c r="E39" s="8"/>
    </row>
    <row r="40" customFormat="false" ht="17.15" hidden="false" customHeight="false" outlineLevel="0" collapsed="false">
      <c r="A40" s="16" t="s">
        <v>255</v>
      </c>
      <c r="B40" s="8"/>
      <c r="C40" s="8"/>
      <c r="D40" s="8"/>
      <c r="E40" s="8"/>
    </row>
    <row r="41" customFormat="false" ht="17.15" hidden="false" customHeight="false" outlineLevel="0" collapsed="false">
      <c r="A41" s="16" t="s">
        <v>256</v>
      </c>
      <c r="B41" s="8"/>
      <c r="C41" s="8"/>
      <c r="D41" s="8"/>
      <c r="E41" s="8"/>
    </row>
    <row r="42" customFormat="false" ht="17.15" hidden="false" customHeight="false" outlineLevel="0" collapsed="false">
      <c r="A42" s="16" t="s">
        <v>257</v>
      </c>
      <c r="B42" s="8"/>
      <c r="C42" s="8"/>
      <c r="D42" s="8"/>
      <c r="E42" s="8"/>
    </row>
    <row r="43" customFormat="false" ht="17.15" hidden="false" customHeight="false" outlineLevel="0" collapsed="false">
      <c r="A43" s="16" t="s">
        <v>258</v>
      </c>
      <c r="B43" s="8"/>
      <c r="C43" s="8"/>
      <c r="D43" s="8"/>
      <c r="E43" s="8"/>
    </row>
    <row r="44" customFormat="false" ht="17.15" hidden="false" customHeight="false" outlineLevel="0" collapsed="false">
      <c r="A44" s="16" t="s">
        <v>259</v>
      </c>
      <c r="B44" s="8"/>
      <c r="C44" s="8"/>
      <c r="D44" s="8"/>
      <c r="E44" s="8"/>
    </row>
    <row r="45" customFormat="false" ht="17.15" hidden="false" customHeight="false" outlineLevel="0" collapsed="false">
      <c r="A45" s="16" t="s">
        <v>260</v>
      </c>
      <c r="B45" s="8"/>
      <c r="C45" s="8"/>
      <c r="D45" s="8"/>
      <c r="E45" s="8"/>
    </row>
    <row r="46" customFormat="false" ht="17.15" hidden="false" customHeight="false" outlineLevel="0" collapsed="false">
      <c r="A46" s="16" t="s">
        <v>261</v>
      </c>
      <c r="B46" s="8"/>
      <c r="C46" s="8"/>
      <c r="D46" s="8"/>
      <c r="E46" s="8"/>
    </row>
    <row r="47" customFormat="false" ht="17.15" hidden="false" customHeight="false" outlineLevel="0" collapsed="false">
      <c r="A47" s="16" t="s">
        <v>262</v>
      </c>
      <c r="B47" s="8"/>
      <c r="C47" s="8"/>
      <c r="D47" s="8"/>
      <c r="E47" s="8"/>
    </row>
    <row r="48" customFormat="false" ht="17.15" hidden="false" customHeight="false" outlineLevel="0" collapsed="false">
      <c r="A48" s="16" t="s">
        <v>263</v>
      </c>
      <c r="B48" s="8"/>
      <c r="C48" s="8"/>
      <c r="D48" s="8"/>
      <c r="E48" s="8"/>
    </row>
    <row r="49" customFormat="false" ht="17.15" hidden="false" customHeight="false" outlineLevel="0" collapsed="false">
      <c r="A49" s="16" t="s">
        <v>264</v>
      </c>
      <c r="B49" s="8"/>
      <c r="C49" s="8"/>
      <c r="D49" s="8"/>
      <c r="E49" s="8"/>
    </row>
    <row r="50" customFormat="false" ht="17.15" hidden="false" customHeight="false" outlineLevel="0" collapsed="false">
      <c r="A50" s="16" t="s">
        <v>265</v>
      </c>
      <c r="B50" s="8"/>
      <c r="C50" s="8"/>
      <c r="D50" s="8"/>
      <c r="E50" s="8"/>
    </row>
    <row r="51" customFormat="false" ht="17.15" hidden="false" customHeight="false" outlineLevel="0" collapsed="false">
      <c r="A51" s="16" t="s">
        <v>266</v>
      </c>
      <c r="B51" s="8"/>
      <c r="C51" s="8"/>
      <c r="D51" s="8"/>
      <c r="E51" s="8"/>
    </row>
    <row r="52" customFormat="false" ht="17.15" hidden="false" customHeight="false" outlineLevel="0" collapsed="false">
      <c r="A52" s="16" t="s">
        <v>267</v>
      </c>
      <c r="B52" s="8"/>
      <c r="C52" s="8"/>
      <c r="D52" s="8"/>
      <c r="E52" s="8"/>
    </row>
    <row r="53" customFormat="false" ht="17.15" hidden="false" customHeight="false" outlineLevel="0" collapsed="false">
      <c r="A53" s="16" t="s">
        <v>268</v>
      </c>
      <c r="B53" s="8"/>
      <c r="C53" s="8"/>
      <c r="D53" s="8"/>
      <c r="E53" s="8"/>
    </row>
    <row r="54" customFormat="false" ht="17.15" hidden="false" customHeight="false" outlineLevel="0" collapsed="false">
      <c r="A54" s="16" t="s">
        <v>269</v>
      </c>
      <c r="B54" s="8"/>
      <c r="C54" s="8"/>
      <c r="D54" s="8"/>
      <c r="E54" s="8"/>
    </row>
    <row r="55" customFormat="false" ht="17.15" hidden="false" customHeight="false" outlineLevel="0" collapsed="false">
      <c r="A55" s="16" t="s">
        <v>270</v>
      </c>
      <c r="B55" s="8"/>
      <c r="C55" s="8"/>
      <c r="D55" s="8"/>
      <c r="E55" s="8"/>
    </row>
    <row r="56" customFormat="false" ht="17.15" hidden="false" customHeight="false" outlineLevel="0" collapsed="false">
      <c r="A56" s="16" t="s">
        <v>271</v>
      </c>
      <c r="B56" s="8"/>
      <c r="C56" s="8"/>
      <c r="D56" s="8"/>
      <c r="E56" s="8"/>
    </row>
    <row r="57" customFormat="false" ht="17.15" hidden="false" customHeight="false" outlineLevel="0" collapsed="false">
      <c r="A57" s="16" t="s">
        <v>272</v>
      </c>
      <c r="B57" s="8"/>
      <c r="C57" s="8"/>
      <c r="D57" s="8"/>
      <c r="E57" s="8"/>
    </row>
    <row r="58" customFormat="false" ht="17.15" hidden="false" customHeight="false" outlineLevel="0" collapsed="false">
      <c r="A58" s="16" t="s">
        <v>273</v>
      </c>
      <c r="B58" s="8"/>
      <c r="C58" s="8"/>
      <c r="D58" s="8"/>
      <c r="E58" s="8"/>
    </row>
    <row r="59" customFormat="false" ht="17.15" hidden="false" customHeight="false" outlineLevel="0" collapsed="false">
      <c r="A59" s="16" t="s">
        <v>274</v>
      </c>
      <c r="B59" s="8"/>
      <c r="C59" s="8"/>
      <c r="D59" s="8"/>
      <c r="E59" s="8"/>
    </row>
    <row r="60" customFormat="false" ht="17.15" hidden="false" customHeight="false" outlineLevel="0" collapsed="false">
      <c r="A60" s="16" t="s">
        <v>275</v>
      </c>
      <c r="B60" s="8"/>
      <c r="C60" s="8"/>
      <c r="D60" s="8"/>
      <c r="E60" s="8"/>
    </row>
    <row r="61" customFormat="false" ht="17.15" hidden="false" customHeight="false" outlineLevel="0" collapsed="false">
      <c r="A61" s="16" t="s">
        <v>276</v>
      </c>
      <c r="B61" s="8"/>
      <c r="C61" s="8"/>
      <c r="D61" s="8"/>
      <c r="E61" s="8"/>
    </row>
    <row r="62" customFormat="false" ht="17.15" hidden="false" customHeight="false" outlineLevel="0" collapsed="false">
      <c r="A62" s="16" t="s">
        <v>277</v>
      </c>
      <c r="B62" s="8"/>
      <c r="C62" s="8"/>
      <c r="D62" s="8"/>
      <c r="E62" s="8"/>
    </row>
    <row r="63" customFormat="false" ht="17.15" hidden="false" customHeight="false" outlineLevel="0" collapsed="false">
      <c r="A63" s="16" t="s">
        <v>278</v>
      </c>
      <c r="B63" s="8"/>
      <c r="C63" s="8"/>
      <c r="D63" s="8"/>
      <c r="E63" s="8"/>
    </row>
    <row r="64" customFormat="false" ht="17.15" hidden="false" customHeight="false" outlineLevel="0" collapsed="false">
      <c r="A64" s="16" t="s">
        <v>279</v>
      </c>
      <c r="B64" s="8"/>
      <c r="C64" s="8"/>
      <c r="D64" s="8"/>
      <c r="E64" s="8"/>
    </row>
    <row r="65" customFormat="false" ht="17.15" hidden="false" customHeight="false" outlineLevel="0" collapsed="false">
      <c r="A65" s="16" t="s">
        <v>280</v>
      </c>
      <c r="B65" s="8"/>
      <c r="C65" s="8"/>
      <c r="D65" s="8"/>
      <c r="E65" s="8"/>
    </row>
    <row r="66" customFormat="false" ht="17.15" hidden="false" customHeight="false" outlineLevel="0" collapsed="false">
      <c r="A66" s="16" t="s">
        <v>281</v>
      </c>
      <c r="B66" s="8"/>
      <c r="C66" s="8"/>
      <c r="D66" s="8"/>
      <c r="E66" s="8"/>
    </row>
    <row r="67" customFormat="false" ht="17.15" hidden="false" customHeight="false" outlineLevel="0" collapsed="false">
      <c r="A67" s="16" t="s">
        <v>282</v>
      </c>
      <c r="B67" s="8"/>
      <c r="C67" s="8"/>
      <c r="D67" s="8"/>
      <c r="E67" s="8"/>
    </row>
    <row r="68" customFormat="false" ht="17.15" hidden="false" customHeight="false" outlineLevel="0" collapsed="false">
      <c r="A68" s="16" t="s">
        <v>283</v>
      </c>
      <c r="B68" s="8"/>
      <c r="C68" s="8"/>
      <c r="D68" s="8"/>
      <c r="E68" s="8"/>
    </row>
    <row r="69" customFormat="false" ht="17.15" hidden="false" customHeight="false" outlineLevel="0" collapsed="false">
      <c r="A69" s="16" t="s">
        <v>284</v>
      </c>
      <c r="B69" s="8"/>
      <c r="C69" s="8"/>
      <c r="D69" s="8"/>
      <c r="E69" s="8"/>
    </row>
    <row r="70" customFormat="false" ht="17.15" hidden="false" customHeight="false" outlineLevel="0" collapsed="false">
      <c r="A70" s="16" t="s">
        <v>285</v>
      </c>
      <c r="B70" s="8"/>
      <c r="C70" s="8"/>
      <c r="D70" s="8"/>
      <c r="E70" s="8"/>
    </row>
    <row r="71" customFormat="false" ht="17.15" hidden="false" customHeight="false" outlineLevel="0" collapsed="false">
      <c r="A71" s="16" t="s">
        <v>286</v>
      </c>
      <c r="B71" s="8"/>
      <c r="C71" s="8"/>
      <c r="D71" s="8"/>
      <c r="E71" s="8"/>
    </row>
    <row r="72" customFormat="false" ht="17.15" hidden="false" customHeight="false" outlineLevel="0" collapsed="false">
      <c r="A72" s="16" t="s">
        <v>287</v>
      </c>
      <c r="B72" s="8"/>
      <c r="C72" s="8"/>
      <c r="D72" s="8"/>
      <c r="E72" s="8"/>
    </row>
    <row r="73" customFormat="false" ht="17.15" hidden="false" customHeight="false" outlineLevel="0" collapsed="false">
      <c r="A73" s="16" t="s">
        <v>288</v>
      </c>
      <c r="B73" s="8"/>
      <c r="C73" s="8"/>
      <c r="D73" s="8"/>
      <c r="E73" s="8"/>
    </row>
    <row r="74" customFormat="false" ht="17.15" hidden="false" customHeight="false" outlineLevel="0" collapsed="false">
      <c r="A74" s="16" t="s">
        <v>289</v>
      </c>
      <c r="B74" s="8"/>
      <c r="C74" s="8"/>
      <c r="D74" s="8"/>
      <c r="E74" s="8"/>
    </row>
  </sheetData>
  <mergeCells count="2">
    <mergeCell ref="A1:E1"/>
    <mergeCell ref="A2:E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2" t="s">
        <v>290</v>
      </c>
      <c r="B1" s="12"/>
      <c r="C1" s="12"/>
      <c r="D1" s="12"/>
      <c r="E1" s="12"/>
      <c r="F1" s="12"/>
    </row>
    <row r="2" customFormat="false" ht="36" hidden="false" customHeight="true" outlineLevel="0" collapsed="false">
      <c r="A2" s="13" t="s">
        <v>291</v>
      </c>
      <c r="B2" s="13"/>
      <c r="C2" s="13"/>
      <c r="D2" s="13"/>
      <c r="E2" s="13"/>
      <c r="F2" s="13"/>
    </row>
    <row r="3" customFormat="false" ht="32.8" hidden="false" customHeight="false" outlineLevel="0" collapsed="false">
      <c r="A3" s="3" t="s">
        <v>145</v>
      </c>
      <c r="B3" s="3" t="s">
        <v>159</v>
      </c>
      <c r="C3" s="3" t="s">
        <v>199</v>
      </c>
      <c r="D3" s="3" t="s">
        <v>292</v>
      </c>
      <c r="E3" s="3" t="s">
        <v>293</v>
      </c>
      <c r="F3" s="3" t="s">
        <v>294</v>
      </c>
    </row>
    <row r="4" customFormat="false" ht="15" hidden="false" customHeight="false" outlineLevel="0" collapsed="false">
      <c r="A4" s="18" t="s">
        <v>153</v>
      </c>
      <c r="B4" s="18" t="s">
        <v>295</v>
      </c>
      <c r="C4" s="18" t="s">
        <v>191</v>
      </c>
      <c r="D4" s="18" t="s">
        <v>296</v>
      </c>
      <c r="E4" s="18" t="s">
        <v>297</v>
      </c>
      <c r="F4" s="18"/>
    </row>
    <row r="5" customFormat="false" ht="15" hidden="false" customHeight="false" outlineLevel="0" collapsed="false">
      <c r="A5" s="8"/>
      <c r="B5" s="16"/>
      <c r="C5" s="16"/>
      <c r="D5" s="16"/>
      <c r="E5" s="8"/>
      <c r="F5" s="20" t="str">
        <f aca="false">IF(A5="","",COUNTIFS($A$5:$A$304,A5,$D$5:$D$304,"必須"))</f>
        <v/>
      </c>
    </row>
    <row r="6" customFormat="false" ht="15" hidden="false" customHeight="false" outlineLevel="0" collapsed="false">
      <c r="A6" s="8"/>
      <c r="B6" s="16"/>
      <c r="C6" s="16"/>
      <c r="D6" s="16"/>
      <c r="E6" s="8"/>
      <c r="F6" s="20" t="str">
        <f aca="false">IF(A6="","",COUNTIFS($A$5:$A$304,A6,$D$5:$D$304,"必須"))</f>
        <v/>
      </c>
    </row>
    <row r="7" customFormat="false" ht="15" hidden="false" customHeight="false" outlineLevel="0" collapsed="false">
      <c r="A7" s="8"/>
      <c r="B7" s="16"/>
      <c r="C7" s="16"/>
      <c r="D7" s="16"/>
      <c r="E7" s="8"/>
      <c r="F7" s="20" t="str">
        <f aca="false">IF(A7="","",COUNTIFS($A$5:$A$304,A7,$D$5:$D$304,"必須"))</f>
        <v/>
      </c>
    </row>
    <row r="8" customFormat="false" ht="15" hidden="false" customHeight="false" outlineLevel="0" collapsed="false">
      <c r="A8" s="8"/>
      <c r="B8" s="16"/>
      <c r="C8" s="16"/>
      <c r="D8" s="16"/>
      <c r="E8" s="8"/>
      <c r="F8" s="20" t="str">
        <f aca="false">IF(A8="","",COUNTIFS($A$5:$A$304,A8,$D$5:$D$304,"必須"))</f>
        <v/>
      </c>
    </row>
    <row r="9" customFormat="false" ht="15" hidden="false" customHeight="false" outlineLevel="0" collapsed="false">
      <c r="A9" s="8"/>
      <c r="B9" s="16"/>
      <c r="C9" s="16"/>
      <c r="D9" s="16"/>
      <c r="E9" s="8"/>
      <c r="F9" s="20" t="str">
        <f aca="false">IF(A9="","",COUNTIFS($A$5:$A$304,A9,$D$5:$D$304,"必須"))</f>
        <v/>
      </c>
    </row>
    <row r="10" customFormat="false" ht="15" hidden="false" customHeight="false" outlineLevel="0" collapsed="false">
      <c r="A10" s="8"/>
      <c r="B10" s="16"/>
      <c r="C10" s="16"/>
      <c r="D10" s="16"/>
      <c r="E10" s="8"/>
      <c r="F10" s="20" t="str">
        <f aca="false">IF(A10="","",COUNTIFS($A$5:$A$304,A10,$D$5:$D$304,"必須"))</f>
        <v/>
      </c>
    </row>
    <row r="11" customFormat="false" ht="15" hidden="false" customHeight="false" outlineLevel="0" collapsed="false">
      <c r="A11" s="8"/>
      <c r="B11" s="16"/>
      <c r="C11" s="16"/>
      <c r="D11" s="16"/>
      <c r="E11" s="8"/>
      <c r="F11" s="20" t="str">
        <f aca="false">IF(A11="","",COUNTIFS($A$5:$A$304,A11,$D$5:$D$304,"必須"))</f>
        <v/>
      </c>
    </row>
    <row r="12" customFormat="false" ht="15" hidden="false" customHeight="false" outlineLevel="0" collapsed="false">
      <c r="A12" s="8"/>
      <c r="B12" s="16"/>
      <c r="C12" s="16"/>
      <c r="D12" s="16"/>
      <c r="E12" s="8"/>
      <c r="F12" s="20" t="str">
        <f aca="false">IF(A12="","",COUNTIFS($A$5:$A$304,A12,$D$5:$D$304,"必須"))</f>
        <v/>
      </c>
    </row>
    <row r="13" customFormat="false" ht="15" hidden="false" customHeight="false" outlineLevel="0" collapsed="false">
      <c r="A13" s="8"/>
      <c r="B13" s="16"/>
      <c r="C13" s="16"/>
      <c r="D13" s="16"/>
      <c r="E13" s="8"/>
      <c r="F13" s="20" t="str">
        <f aca="false">IF(A13="","",COUNTIFS($A$5:$A$304,A13,$D$5:$D$304,"必須"))</f>
        <v/>
      </c>
    </row>
    <row r="14" customFormat="false" ht="15" hidden="false" customHeight="false" outlineLevel="0" collapsed="false">
      <c r="A14" s="8"/>
      <c r="B14" s="16"/>
      <c r="C14" s="16"/>
      <c r="D14" s="16"/>
      <c r="E14" s="8"/>
      <c r="F14" s="20" t="str">
        <f aca="false">IF(A14="","",COUNTIFS($A$5:$A$304,A14,$D$5:$D$304,"必須"))</f>
        <v/>
      </c>
    </row>
    <row r="15" customFormat="false" ht="15" hidden="false" customHeight="false" outlineLevel="0" collapsed="false">
      <c r="A15" s="8"/>
      <c r="B15" s="16"/>
      <c r="C15" s="16"/>
      <c r="D15" s="16"/>
      <c r="E15" s="8"/>
      <c r="F15" s="20" t="str">
        <f aca="false">IF(A15="","",COUNTIFS($A$5:$A$304,A15,$D$5:$D$304,"必須"))</f>
        <v/>
      </c>
    </row>
    <row r="16" customFormat="false" ht="15" hidden="false" customHeight="false" outlineLevel="0" collapsed="false">
      <c r="A16" s="8"/>
      <c r="B16" s="16"/>
      <c r="C16" s="16"/>
      <c r="D16" s="16"/>
      <c r="E16" s="8"/>
      <c r="F16" s="20" t="str">
        <f aca="false">IF(A16="","",COUNTIFS($A$5:$A$304,A16,$D$5:$D$304,"必須"))</f>
        <v/>
      </c>
    </row>
    <row r="17" customFormat="false" ht="15" hidden="false" customHeight="false" outlineLevel="0" collapsed="false">
      <c r="A17" s="8"/>
      <c r="B17" s="16"/>
      <c r="C17" s="16"/>
      <c r="D17" s="16"/>
      <c r="E17" s="8"/>
      <c r="F17" s="20" t="str">
        <f aca="false">IF(A17="","",COUNTIFS($A$5:$A$304,A17,$D$5:$D$304,"必須"))</f>
        <v/>
      </c>
    </row>
    <row r="18" customFormat="false" ht="15" hidden="false" customHeight="false" outlineLevel="0" collapsed="false">
      <c r="A18" s="8"/>
      <c r="B18" s="16"/>
      <c r="C18" s="16"/>
      <c r="D18" s="16"/>
      <c r="E18" s="8"/>
      <c r="F18" s="20" t="str">
        <f aca="false">IF(A18="","",COUNTIFS($A$5:$A$304,A18,$D$5:$D$304,"必須"))</f>
        <v/>
      </c>
    </row>
    <row r="19" customFormat="false" ht="15" hidden="false" customHeight="false" outlineLevel="0" collapsed="false">
      <c r="A19" s="8"/>
      <c r="B19" s="16"/>
      <c r="C19" s="16"/>
      <c r="D19" s="16"/>
      <c r="E19" s="8"/>
      <c r="F19" s="20" t="str">
        <f aca="false">IF(A19="","",COUNTIFS($A$5:$A$304,A19,$D$5:$D$304,"必須"))</f>
        <v/>
      </c>
    </row>
    <row r="20" customFormat="false" ht="15" hidden="false" customHeight="false" outlineLevel="0" collapsed="false">
      <c r="A20" s="8"/>
      <c r="B20" s="16"/>
      <c r="C20" s="16"/>
      <c r="D20" s="16"/>
      <c r="E20" s="8"/>
      <c r="F20" s="20" t="str">
        <f aca="false">IF(A20="","",COUNTIFS($A$5:$A$304,A20,$D$5:$D$304,"必須"))</f>
        <v/>
      </c>
    </row>
    <row r="21" customFormat="false" ht="15" hidden="false" customHeight="false" outlineLevel="0" collapsed="false">
      <c r="A21" s="8"/>
      <c r="B21" s="16"/>
      <c r="C21" s="16"/>
      <c r="D21" s="16"/>
      <c r="E21" s="8"/>
      <c r="F21" s="20" t="str">
        <f aca="false">IF(A21="","",COUNTIFS($A$5:$A$304,A21,$D$5:$D$304,"必須"))</f>
        <v/>
      </c>
    </row>
    <row r="22" customFormat="false" ht="15" hidden="false" customHeight="false" outlineLevel="0" collapsed="false">
      <c r="A22" s="8"/>
      <c r="B22" s="16"/>
      <c r="C22" s="16"/>
      <c r="D22" s="16"/>
      <c r="E22" s="8"/>
      <c r="F22" s="20" t="str">
        <f aca="false">IF(A22="","",COUNTIFS($A$5:$A$304,A22,$D$5:$D$304,"必須"))</f>
        <v/>
      </c>
    </row>
    <row r="23" customFormat="false" ht="15" hidden="false" customHeight="false" outlineLevel="0" collapsed="false">
      <c r="A23" s="8"/>
      <c r="B23" s="16"/>
      <c r="C23" s="16"/>
      <c r="D23" s="16"/>
      <c r="E23" s="8"/>
      <c r="F23" s="20" t="str">
        <f aca="false">IF(A23="","",COUNTIFS($A$5:$A$304,A23,$D$5:$D$304,"必須"))</f>
        <v/>
      </c>
    </row>
    <row r="24" customFormat="false" ht="15" hidden="false" customHeight="false" outlineLevel="0" collapsed="false">
      <c r="A24" s="8"/>
      <c r="B24" s="16"/>
      <c r="C24" s="16"/>
      <c r="D24" s="16"/>
      <c r="E24" s="8"/>
      <c r="F24" s="20" t="str">
        <f aca="false">IF(A24="","",COUNTIFS($A$5:$A$304,A24,$D$5:$D$304,"必須"))</f>
        <v/>
      </c>
    </row>
    <row r="25" customFormat="false" ht="15" hidden="false" customHeight="false" outlineLevel="0" collapsed="false">
      <c r="A25" s="8"/>
      <c r="B25" s="16"/>
      <c r="C25" s="16"/>
      <c r="D25" s="16"/>
      <c r="E25" s="8"/>
      <c r="F25" s="20" t="str">
        <f aca="false">IF(A25="","",COUNTIFS($A$5:$A$304,A25,$D$5:$D$304,"必須"))</f>
        <v/>
      </c>
    </row>
    <row r="26" customFormat="false" ht="15" hidden="false" customHeight="false" outlineLevel="0" collapsed="false">
      <c r="A26" s="8"/>
      <c r="B26" s="16"/>
      <c r="C26" s="16"/>
      <c r="D26" s="16"/>
      <c r="E26" s="8"/>
      <c r="F26" s="20" t="str">
        <f aca="false">IF(A26="","",COUNTIFS($A$5:$A$304,A26,$D$5:$D$304,"必須"))</f>
        <v/>
      </c>
    </row>
    <row r="27" customFormat="false" ht="15" hidden="false" customHeight="false" outlineLevel="0" collapsed="false">
      <c r="A27" s="8"/>
      <c r="B27" s="16"/>
      <c r="C27" s="16"/>
      <c r="D27" s="16"/>
      <c r="E27" s="8"/>
      <c r="F27" s="20" t="str">
        <f aca="false">IF(A27="","",COUNTIFS($A$5:$A$304,A27,$D$5:$D$304,"必須"))</f>
        <v/>
      </c>
    </row>
    <row r="28" customFormat="false" ht="15" hidden="false" customHeight="false" outlineLevel="0" collapsed="false">
      <c r="A28" s="8"/>
      <c r="B28" s="16"/>
      <c r="C28" s="16"/>
      <c r="D28" s="16"/>
      <c r="E28" s="8"/>
      <c r="F28" s="20" t="str">
        <f aca="false">IF(A28="","",COUNTIFS($A$5:$A$304,A28,$D$5:$D$304,"必須"))</f>
        <v/>
      </c>
    </row>
    <row r="29" customFormat="false" ht="15" hidden="false" customHeight="false" outlineLevel="0" collapsed="false">
      <c r="A29" s="8"/>
      <c r="B29" s="16"/>
      <c r="C29" s="16"/>
      <c r="D29" s="16"/>
      <c r="E29" s="8"/>
      <c r="F29" s="20" t="str">
        <f aca="false">IF(A29="","",COUNTIFS($A$5:$A$304,A29,$D$5:$D$304,"必須"))</f>
        <v/>
      </c>
    </row>
    <row r="30" customFormat="false" ht="15" hidden="false" customHeight="false" outlineLevel="0" collapsed="false">
      <c r="A30" s="8"/>
      <c r="B30" s="16"/>
      <c r="C30" s="16"/>
      <c r="D30" s="16"/>
      <c r="E30" s="8"/>
      <c r="F30" s="20" t="str">
        <f aca="false">IF(A30="","",COUNTIFS($A$5:$A$304,A30,$D$5:$D$304,"必須"))</f>
        <v/>
      </c>
    </row>
    <row r="31" customFormat="false" ht="15" hidden="false" customHeight="false" outlineLevel="0" collapsed="false">
      <c r="A31" s="8"/>
      <c r="B31" s="16"/>
      <c r="C31" s="16"/>
      <c r="D31" s="16"/>
      <c r="E31" s="8"/>
      <c r="F31" s="20" t="str">
        <f aca="false">IF(A31="","",COUNTIFS($A$5:$A$304,A31,$D$5:$D$304,"必須"))</f>
        <v/>
      </c>
    </row>
    <row r="32" customFormat="false" ht="15" hidden="false" customHeight="false" outlineLevel="0" collapsed="false">
      <c r="A32" s="8"/>
      <c r="B32" s="16"/>
      <c r="C32" s="16"/>
      <c r="D32" s="16"/>
      <c r="E32" s="8"/>
      <c r="F32" s="20" t="str">
        <f aca="false">IF(A32="","",COUNTIFS($A$5:$A$304,A32,$D$5:$D$304,"必須"))</f>
        <v/>
      </c>
    </row>
    <row r="33" customFormat="false" ht="15" hidden="false" customHeight="false" outlineLevel="0" collapsed="false">
      <c r="A33" s="8"/>
      <c r="B33" s="16"/>
      <c r="C33" s="16"/>
      <c r="D33" s="16"/>
      <c r="E33" s="8"/>
      <c r="F33" s="20" t="str">
        <f aca="false">IF(A33="","",COUNTIFS($A$5:$A$304,A33,$D$5:$D$304,"必須"))</f>
        <v/>
      </c>
    </row>
    <row r="34" customFormat="false" ht="15" hidden="false" customHeight="false" outlineLevel="0" collapsed="false">
      <c r="A34" s="8"/>
      <c r="B34" s="16"/>
      <c r="C34" s="16"/>
      <c r="D34" s="16"/>
      <c r="E34" s="8"/>
      <c r="F34" s="20" t="str">
        <f aca="false">IF(A34="","",COUNTIFS($A$5:$A$304,A34,$D$5:$D$304,"必須"))</f>
        <v/>
      </c>
    </row>
    <row r="35" customFormat="false" ht="15" hidden="false" customHeight="false" outlineLevel="0" collapsed="false">
      <c r="A35" s="8"/>
      <c r="B35" s="16"/>
      <c r="C35" s="16"/>
      <c r="D35" s="16"/>
      <c r="E35" s="8"/>
      <c r="F35" s="20" t="str">
        <f aca="false">IF(A35="","",COUNTIFS($A$5:$A$304,A35,$D$5:$D$304,"必須"))</f>
        <v/>
      </c>
    </row>
    <row r="36" customFormat="false" ht="15" hidden="false" customHeight="false" outlineLevel="0" collapsed="false">
      <c r="A36" s="8"/>
      <c r="B36" s="16"/>
      <c r="C36" s="16"/>
      <c r="D36" s="16"/>
      <c r="E36" s="8"/>
      <c r="F36" s="20" t="str">
        <f aca="false">IF(A36="","",COUNTIFS($A$5:$A$304,A36,$D$5:$D$304,"必須"))</f>
        <v/>
      </c>
    </row>
    <row r="37" customFormat="false" ht="15" hidden="false" customHeight="false" outlineLevel="0" collapsed="false">
      <c r="A37" s="8"/>
      <c r="B37" s="16"/>
      <c r="C37" s="16"/>
      <c r="D37" s="16"/>
      <c r="E37" s="8"/>
      <c r="F37" s="20" t="str">
        <f aca="false">IF(A37="","",COUNTIFS($A$5:$A$304,A37,$D$5:$D$304,"必須"))</f>
        <v/>
      </c>
    </row>
    <row r="38" customFormat="false" ht="15" hidden="false" customHeight="false" outlineLevel="0" collapsed="false">
      <c r="A38" s="8"/>
      <c r="B38" s="16"/>
      <c r="C38" s="16"/>
      <c r="D38" s="16"/>
      <c r="E38" s="8"/>
      <c r="F38" s="20" t="str">
        <f aca="false">IF(A38="","",COUNTIFS($A$5:$A$304,A38,$D$5:$D$304,"必須"))</f>
        <v/>
      </c>
    </row>
    <row r="39" customFormat="false" ht="15" hidden="false" customHeight="false" outlineLevel="0" collapsed="false">
      <c r="A39" s="8"/>
      <c r="B39" s="16"/>
      <c r="C39" s="16"/>
      <c r="D39" s="16"/>
      <c r="E39" s="8"/>
      <c r="F39" s="20" t="str">
        <f aca="false">IF(A39="","",COUNTIFS($A$5:$A$304,A39,$D$5:$D$304,"必須"))</f>
        <v/>
      </c>
    </row>
    <row r="40" customFormat="false" ht="15" hidden="false" customHeight="false" outlineLevel="0" collapsed="false">
      <c r="A40" s="8"/>
      <c r="B40" s="16"/>
      <c r="C40" s="16"/>
      <c r="D40" s="16"/>
      <c r="E40" s="8"/>
      <c r="F40" s="20" t="str">
        <f aca="false">IF(A40="","",COUNTIFS($A$5:$A$304,A40,$D$5:$D$304,"必須"))</f>
        <v/>
      </c>
    </row>
    <row r="41" customFormat="false" ht="15" hidden="false" customHeight="false" outlineLevel="0" collapsed="false">
      <c r="A41" s="8"/>
      <c r="B41" s="16"/>
      <c r="C41" s="16"/>
      <c r="D41" s="16"/>
      <c r="E41" s="8"/>
      <c r="F41" s="20" t="str">
        <f aca="false">IF(A41="","",COUNTIFS($A$5:$A$304,A41,$D$5:$D$304,"必須"))</f>
        <v/>
      </c>
    </row>
    <row r="42" customFormat="false" ht="15" hidden="false" customHeight="false" outlineLevel="0" collapsed="false">
      <c r="A42" s="8"/>
      <c r="B42" s="16"/>
      <c r="C42" s="16"/>
      <c r="D42" s="16"/>
      <c r="E42" s="8"/>
      <c r="F42" s="20" t="str">
        <f aca="false">IF(A42="","",COUNTIFS($A$5:$A$304,A42,$D$5:$D$304,"必須"))</f>
        <v/>
      </c>
    </row>
    <row r="43" customFormat="false" ht="15" hidden="false" customHeight="false" outlineLevel="0" collapsed="false">
      <c r="A43" s="8"/>
      <c r="B43" s="16"/>
      <c r="C43" s="16"/>
      <c r="D43" s="16"/>
      <c r="E43" s="8"/>
      <c r="F43" s="20" t="str">
        <f aca="false">IF(A43="","",COUNTIFS($A$5:$A$304,A43,$D$5:$D$304,"必須"))</f>
        <v/>
      </c>
    </row>
    <row r="44" customFormat="false" ht="15" hidden="false" customHeight="false" outlineLevel="0" collapsed="false">
      <c r="A44" s="8"/>
      <c r="B44" s="16"/>
      <c r="C44" s="16"/>
      <c r="D44" s="16"/>
      <c r="E44" s="8"/>
      <c r="F44" s="20" t="str">
        <f aca="false">IF(A44="","",COUNTIFS($A$5:$A$304,A44,$D$5:$D$304,"必須"))</f>
        <v/>
      </c>
    </row>
    <row r="45" customFormat="false" ht="15" hidden="false" customHeight="false" outlineLevel="0" collapsed="false">
      <c r="A45" s="8"/>
      <c r="B45" s="16"/>
      <c r="C45" s="16"/>
      <c r="D45" s="16"/>
      <c r="E45" s="8"/>
      <c r="F45" s="20" t="str">
        <f aca="false">IF(A45="","",COUNTIFS($A$5:$A$304,A45,$D$5:$D$304,"必須"))</f>
        <v/>
      </c>
    </row>
    <row r="46" customFormat="false" ht="15" hidden="false" customHeight="false" outlineLevel="0" collapsed="false">
      <c r="A46" s="8"/>
      <c r="B46" s="16"/>
      <c r="C46" s="16"/>
      <c r="D46" s="16"/>
      <c r="E46" s="8"/>
      <c r="F46" s="20" t="str">
        <f aca="false">IF(A46="","",COUNTIFS($A$5:$A$304,A46,$D$5:$D$304,"必須"))</f>
        <v/>
      </c>
    </row>
    <row r="47" customFormat="false" ht="15" hidden="false" customHeight="false" outlineLevel="0" collapsed="false">
      <c r="A47" s="8"/>
      <c r="B47" s="16"/>
      <c r="C47" s="16"/>
      <c r="D47" s="16"/>
      <c r="E47" s="8"/>
      <c r="F47" s="20" t="str">
        <f aca="false">IF(A47="","",COUNTIFS($A$5:$A$304,A47,$D$5:$D$304,"必須"))</f>
        <v/>
      </c>
    </row>
    <row r="48" customFormat="false" ht="15" hidden="false" customHeight="false" outlineLevel="0" collapsed="false">
      <c r="A48" s="8"/>
      <c r="B48" s="16"/>
      <c r="C48" s="16"/>
      <c r="D48" s="16"/>
      <c r="E48" s="8"/>
      <c r="F48" s="20" t="str">
        <f aca="false">IF(A48="","",COUNTIFS($A$5:$A$304,A48,$D$5:$D$304,"必須"))</f>
        <v/>
      </c>
    </row>
    <row r="49" customFormat="false" ht="15" hidden="false" customHeight="false" outlineLevel="0" collapsed="false">
      <c r="A49" s="8"/>
      <c r="B49" s="16"/>
      <c r="C49" s="16"/>
      <c r="D49" s="16"/>
      <c r="E49" s="8"/>
      <c r="F49" s="20" t="str">
        <f aca="false">IF(A49="","",COUNTIFS($A$5:$A$304,A49,$D$5:$D$304,"必須"))</f>
        <v/>
      </c>
    </row>
    <row r="50" customFormat="false" ht="15" hidden="false" customHeight="false" outlineLevel="0" collapsed="false">
      <c r="A50" s="8"/>
      <c r="B50" s="16"/>
      <c r="C50" s="16"/>
      <c r="D50" s="16"/>
      <c r="E50" s="8"/>
      <c r="F50" s="20" t="str">
        <f aca="false">IF(A50="","",COUNTIFS($A$5:$A$304,A50,$D$5:$D$304,"必須"))</f>
        <v/>
      </c>
    </row>
    <row r="51" customFormat="false" ht="15" hidden="false" customHeight="false" outlineLevel="0" collapsed="false">
      <c r="A51" s="8"/>
      <c r="B51" s="16"/>
      <c r="C51" s="16"/>
      <c r="D51" s="16"/>
      <c r="E51" s="8"/>
      <c r="F51" s="20" t="str">
        <f aca="false">IF(A51="","",COUNTIFS($A$5:$A$304,A51,$D$5:$D$304,"必須"))</f>
        <v/>
      </c>
    </row>
    <row r="52" customFormat="false" ht="15" hidden="false" customHeight="false" outlineLevel="0" collapsed="false">
      <c r="A52" s="8"/>
      <c r="B52" s="16"/>
      <c r="C52" s="16"/>
      <c r="D52" s="16"/>
      <c r="E52" s="8"/>
      <c r="F52" s="20" t="str">
        <f aca="false">IF(A52="","",COUNTIFS($A$5:$A$304,A52,$D$5:$D$304,"必須"))</f>
        <v/>
      </c>
    </row>
    <row r="53" customFormat="false" ht="15" hidden="false" customHeight="false" outlineLevel="0" collapsed="false">
      <c r="A53" s="8"/>
      <c r="B53" s="16"/>
      <c r="C53" s="16"/>
      <c r="D53" s="16"/>
      <c r="E53" s="8"/>
      <c r="F53" s="20" t="str">
        <f aca="false">IF(A53="","",COUNTIFS($A$5:$A$304,A53,$D$5:$D$304,"必須"))</f>
        <v/>
      </c>
    </row>
    <row r="54" customFormat="false" ht="15" hidden="false" customHeight="false" outlineLevel="0" collapsed="false">
      <c r="A54" s="8"/>
      <c r="B54" s="16"/>
      <c r="C54" s="16"/>
      <c r="D54" s="16"/>
      <c r="E54" s="8"/>
      <c r="F54" s="20" t="str">
        <f aca="false">IF(A54="","",COUNTIFS($A$5:$A$304,A54,$D$5:$D$304,"必須"))</f>
        <v/>
      </c>
    </row>
    <row r="55" customFormat="false" ht="15" hidden="false" customHeight="false" outlineLevel="0" collapsed="false">
      <c r="A55" s="8"/>
      <c r="B55" s="16"/>
      <c r="C55" s="16"/>
      <c r="D55" s="16"/>
      <c r="E55" s="8"/>
      <c r="F55" s="20" t="str">
        <f aca="false">IF(A55="","",COUNTIFS($A$5:$A$304,A55,$D$5:$D$304,"必須"))</f>
        <v/>
      </c>
    </row>
    <row r="56" customFormat="false" ht="15" hidden="false" customHeight="false" outlineLevel="0" collapsed="false">
      <c r="A56" s="8"/>
      <c r="B56" s="16"/>
      <c r="C56" s="16"/>
      <c r="D56" s="16"/>
      <c r="E56" s="8"/>
      <c r="F56" s="20" t="str">
        <f aca="false">IF(A56="","",COUNTIFS($A$5:$A$304,A56,$D$5:$D$304,"必須"))</f>
        <v/>
      </c>
    </row>
    <row r="57" customFormat="false" ht="15" hidden="false" customHeight="false" outlineLevel="0" collapsed="false">
      <c r="A57" s="8"/>
      <c r="B57" s="16"/>
      <c r="C57" s="16"/>
      <c r="D57" s="16"/>
      <c r="E57" s="8"/>
      <c r="F57" s="20" t="str">
        <f aca="false">IF(A57="","",COUNTIFS($A$5:$A$304,A57,$D$5:$D$304,"必須"))</f>
        <v/>
      </c>
    </row>
    <row r="58" customFormat="false" ht="15" hidden="false" customHeight="false" outlineLevel="0" collapsed="false">
      <c r="A58" s="8"/>
      <c r="B58" s="16"/>
      <c r="C58" s="16"/>
      <c r="D58" s="16"/>
      <c r="E58" s="8"/>
      <c r="F58" s="20" t="str">
        <f aca="false">IF(A58="","",COUNTIFS($A$5:$A$304,A58,$D$5:$D$304,"必須"))</f>
        <v/>
      </c>
    </row>
    <row r="59" customFormat="false" ht="15" hidden="false" customHeight="false" outlineLevel="0" collapsed="false">
      <c r="A59" s="8"/>
      <c r="B59" s="16"/>
      <c r="C59" s="16"/>
      <c r="D59" s="16"/>
      <c r="E59" s="8"/>
      <c r="F59" s="20" t="str">
        <f aca="false">IF(A59="","",COUNTIFS($A$5:$A$304,A59,$D$5:$D$304,"必須"))</f>
        <v/>
      </c>
    </row>
    <row r="60" customFormat="false" ht="15" hidden="false" customHeight="false" outlineLevel="0" collapsed="false">
      <c r="A60" s="8"/>
      <c r="B60" s="16"/>
      <c r="C60" s="16"/>
      <c r="D60" s="16"/>
      <c r="E60" s="8"/>
      <c r="F60" s="20" t="str">
        <f aca="false">IF(A60="","",COUNTIFS($A$5:$A$304,A60,$D$5:$D$304,"必須"))</f>
        <v/>
      </c>
    </row>
    <row r="61" customFormat="false" ht="15" hidden="false" customHeight="false" outlineLevel="0" collapsed="false">
      <c r="A61" s="8"/>
      <c r="B61" s="16"/>
      <c r="C61" s="16"/>
      <c r="D61" s="16"/>
      <c r="E61" s="8"/>
      <c r="F61" s="20" t="str">
        <f aca="false">IF(A61="","",COUNTIFS($A$5:$A$304,A61,$D$5:$D$304,"必須"))</f>
        <v/>
      </c>
    </row>
    <row r="62" customFormat="false" ht="15" hidden="false" customHeight="false" outlineLevel="0" collapsed="false">
      <c r="A62" s="8"/>
      <c r="B62" s="16"/>
      <c r="C62" s="16"/>
      <c r="D62" s="16"/>
      <c r="E62" s="8"/>
      <c r="F62" s="20" t="str">
        <f aca="false">IF(A62="","",COUNTIFS($A$5:$A$304,A62,$D$5:$D$304,"必須"))</f>
        <v/>
      </c>
    </row>
    <row r="63" customFormat="false" ht="15" hidden="false" customHeight="false" outlineLevel="0" collapsed="false">
      <c r="A63" s="8"/>
      <c r="B63" s="16"/>
      <c r="C63" s="16"/>
      <c r="D63" s="16"/>
      <c r="E63" s="8"/>
      <c r="F63" s="20" t="str">
        <f aca="false">IF(A63="","",COUNTIFS($A$5:$A$304,A63,$D$5:$D$304,"必須"))</f>
        <v/>
      </c>
    </row>
    <row r="64" customFormat="false" ht="15" hidden="false" customHeight="false" outlineLevel="0" collapsed="false">
      <c r="A64" s="8"/>
      <c r="B64" s="16"/>
      <c r="C64" s="16"/>
      <c r="D64" s="16"/>
      <c r="E64" s="8"/>
      <c r="F64" s="20" t="str">
        <f aca="false">IF(A64="","",COUNTIFS($A$5:$A$304,A64,$D$5:$D$304,"必須"))</f>
        <v/>
      </c>
    </row>
    <row r="65" customFormat="false" ht="15" hidden="false" customHeight="false" outlineLevel="0" collapsed="false">
      <c r="A65" s="8"/>
      <c r="B65" s="16"/>
      <c r="C65" s="16"/>
      <c r="D65" s="16"/>
      <c r="E65" s="8"/>
      <c r="F65" s="20" t="str">
        <f aca="false">IF(A65="","",COUNTIFS($A$5:$A$304,A65,$D$5:$D$304,"必須"))</f>
        <v/>
      </c>
    </row>
    <row r="66" customFormat="false" ht="15" hidden="false" customHeight="false" outlineLevel="0" collapsed="false">
      <c r="A66" s="8"/>
      <c r="B66" s="16"/>
      <c r="C66" s="16"/>
      <c r="D66" s="16"/>
      <c r="E66" s="8"/>
      <c r="F66" s="20" t="str">
        <f aca="false">IF(A66="","",COUNTIFS($A$5:$A$304,A66,$D$5:$D$304,"必須"))</f>
        <v/>
      </c>
    </row>
    <row r="67" customFormat="false" ht="15" hidden="false" customHeight="false" outlineLevel="0" collapsed="false">
      <c r="A67" s="8"/>
      <c r="B67" s="16"/>
      <c r="C67" s="16"/>
      <c r="D67" s="16"/>
      <c r="E67" s="8"/>
      <c r="F67" s="20" t="str">
        <f aca="false">IF(A67="","",COUNTIFS($A$5:$A$304,A67,$D$5:$D$304,"必須"))</f>
        <v/>
      </c>
    </row>
    <row r="68" customFormat="false" ht="15" hidden="false" customHeight="false" outlineLevel="0" collapsed="false">
      <c r="A68" s="8"/>
      <c r="B68" s="16"/>
      <c r="C68" s="16"/>
      <c r="D68" s="16"/>
      <c r="E68" s="8"/>
      <c r="F68" s="20" t="str">
        <f aca="false">IF(A68="","",COUNTIFS($A$5:$A$304,A68,$D$5:$D$304,"必須"))</f>
        <v/>
      </c>
    </row>
    <row r="69" customFormat="false" ht="15" hidden="false" customHeight="false" outlineLevel="0" collapsed="false">
      <c r="A69" s="8"/>
      <c r="B69" s="16"/>
      <c r="C69" s="16"/>
      <c r="D69" s="16"/>
      <c r="E69" s="8"/>
      <c r="F69" s="20" t="str">
        <f aca="false">IF(A69="","",COUNTIFS($A$5:$A$304,A69,$D$5:$D$304,"必須"))</f>
        <v/>
      </c>
    </row>
    <row r="70" customFormat="false" ht="15" hidden="false" customHeight="false" outlineLevel="0" collapsed="false">
      <c r="A70" s="8"/>
      <c r="B70" s="16"/>
      <c r="C70" s="16"/>
      <c r="D70" s="16"/>
      <c r="E70" s="8"/>
      <c r="F70" s="20" t="str">
        <f aca="false">IF(A70="","",COUNTIFS($A$5:$A$304,A70,$D$5:$D$304,"必須"))</f>
        <v/>
      </c>
    </row>
    <row r="71" customFormat="false" ht="15" hidden="false" customHeight="false" outlineLevel="0" collapsed="false">
      <c r="A71" s="8"/>
      <c r="B71" s="16"/>
      <c r="C71" s="16"/>
      <c r="D71" s="16"/>
      <c r="E71" s="8"/>
      <c r="F71" s="20" t="str">
        <f aca="false">IF(A71="","",COUNTIFS($A$5:$A$304,A71,$D$5:$D$304,"必須"))</f>
        <v/>
      </c>
    </row>
    <row r="72" customFormat="false" ht="15" hidden="false" customHeight="false" outlineLevel="0" collapsed="false">
      <c r="A72" s="8"/>
      <c r="B72" s="16"/>
      <c r="C72" s="16"/>
      <c r="D72" s="16"/>
      <c r="E72" s="8"/>
      <c r="F72" s="20" t="str">
        <f aca="false">IF(A72="","",COUNTIFS($A$5:$A$304,A72,$D$5:$D$304,"必須"))</f>
        <v/>
      </c>
    </row>
    <row r="73" customFormat="false" ht="15" hidden="false" customHeight="false" outlineLevel="0" collapsed="false">
      <c r="A73" s="8"/>
      <c r="B73" s="16"/>
      <c r="C73" s="16"/>
      <c r="D73" s="16"/>
      <c r="E73" s="8"/>
      <c r="F73" s="20" t="str">
        <f aca="false">IF(A73="","",COUNTIFS($A$5:$A$304,A73,$D$5:$D$304,"必須"))</f>
        <v/>
      </c>
    </row>
    <row r="74" customFormat="false" ht="15" hidden="false" customHeight="false" outlineLevel="0" collapsed="false">
      <c r="A74" s="8"/>
      <c r="B74" s="16"/>
      <c r="C74" s="16"/>
      <c r="D74" s="16"/>
      <c r="E74" s="8"/>
      <c r="F74" s="20" t="str">
        <f aca="false">IF(A74="","",COUNTIFS($A$5:$A$304,A74,$D$5:$D$304,"必須"))</f>
        <v/>
      </c>
    </row>
    <row r="75" customFormat="false" ht="15" hidden="false" customHeight="false" outlineLevel="0" collapsed="false">
      <c r="A75" s="8"/>
      <c r="B75" s="16"/>
      <c r="C75" s="16"/>
      <c r="D75" s="16"/>
      <c r="E75" s="8"/>
      <c r="F75" s="20" t="str">
        <f aca="false">IF(A75="","",COUNTIFS($A$5:$A$304,A75,$D$5:$D$304,"必須"))</f>
        <v/>
      </c>
    </row>
    <row r="76" customFormat="false" ht="15" hidden="false" customHeight="false" outlineLevel="0" collapsed="false">
      <c r="A76" s="8"/>
      <c r="B76" s="16"/>
      <c r="C76" s="16"/>
      <c r="D76" s="16"/>
      <c r="E76" s="8"/>
      <c r="F76" s="20" t="str">
        <f aca="false">IF(A76="","",COUNTIFS($A$5:$A$304,A76,$D$5:$D$304,"必須"))</f>
        <v/>
      </c>
    </row>
    <row r="77" customFormat="false" ht="15" hidden="false" customHeight="false" outlineLevel="0" collapsed="false">
      <c r="A77" s="8"/>
      <c r="B77" s="16"/>
      <c r="C77" s="16"/>
      <c r="D77" s="16"/>
      <c r="E77" s="8"/>
      <c r="F77" s="20" t="str">
        <f aca="false">IF(A77="","",COUNTIFS($A$5:$A$304,A77,$D$5:$D$304,"必須"))</f>
        <v/>
      </c>
    </row>
    <row r="78" customFormat="false" ht="15" hidden="false" customHeight="false" outlineLevel="0" collapsed="false">
      <c r="A78" s="8"/>
      <c r="B78" s="16"/>
      <c r="C78" s="16"/>
      <c r="D78" s="16"/>
      <c r="E78" s="8"/>
      <c r="F78" s="20" t="str">
        <f aca="false">IF(A78="","",COUNTIFS($A$5:$A$304,A78,$D$5:$D$304,"必須"))</f>
        <v/>
      </c>
    </row>
    <row r="79" customFormat="false" ht="15" hidden="false" customHeight="false" outlineLevel="0" collapsed="false">
      <c r="A79" s="8"/>
      <c r="B79" s="16"/>
      <c r="C79" s="16"/>
      <c r="D79" s="16"/>
      <c r="E79" s="8"/>
      <c r="F79" s="20" t="str">
        <f aca="false">IF(A79="","",COUNTIFS($A$5:$A$304,A79,$D$5:$D$304,"必須"))</f>
        <v/>
      </c>
    </row>
    <row r="80" customFormat="false" ht="15" hidden="false" customHeight="false" outlineLevel="0" collapsed="false">
      <c r="A80" s="8"/>
      <c r="B80" s="16"/>
      <c r="C80" s="16"/>
      <c r="D80" s="16"/>
      <c r="E80" s="8"/>
      <c r="F80" s="20" t="str">
        <f aca="false">IF(A80="","",COUNTIFS($A$5:$A$304,A80,$D$5:$D$304,"必須"))</f>
        <v/>
      </c>
    </row>
    <row r="81" customFormat="false" ht="15" hidden="false" customHeight="false" outlineLevel="0" collapsed="false">
      <c r="A81" s="8"/>
      <c r="B81" s="16"/>
      <c r="C81" s="16"/>
      <c r="D81" s="16"/>
      <c r="E81" s="8"/>
      <c r="F81" s="20" t="str">
        <f aca="false">IF(A81="","",COUNTIFS($A$5:$A$304,A81,$D$5:$D$304,"必須"))</f>
        <v/>
      </c>
    </row>
    <row r="82" customFormat="false" ht="15" hidden="false" customHeight="false" outlineLevel="0" collapsed="false">
      <c r="A82" s="8"/>
      <c r="B82" s="16"/>
      <c r="C82" s="16"/>
      <c r="D82" s="16"/>
      <c r="E82" s="8"/>
      <c r="F82" s="20" t="str">
        <f aca="false">IF(A82="","",COUNTIFS($A$5:$A$304,A82,$D$5:$D$304,"必須"))</f>
        <v/>
      </c>
    </row>
    <row r="83" customFormat="false" ht="15" hidden="false" customHeight="false" outlineLevel="0" collapsed="false">
      <c r="A83" s="8"/>
      <c r="B83" s="16"/>
      <c r="C83" s="16"/>
      <c r="D83" s="16"/>
      <c r="E83" s="8"/>
      <c r="F83" s="20" t="str">
        <f aca="false">IF(A83="","",COUNTIFS($A$5:$A$304,A83,$D$5:$D$304,"必須"))</f>
        <v/>
      </c>
    </row>
    <row r="84" customFormat="false" ht="15" hidden="false" customHeight="false" outlineLevel="0" collapsed="false">
      <c r="A84" s="8"/>
      <c r="B84" s="16"/>
      <c r="C84" s="16"/>
      <c r="D84" s="16"/>
      <c r="E84" s="8"/>
      <c r="F84" s="20" t="str">
        <f aca="false">IF(A84="","",COUNTIFS($A$5:$A$304,A84,$D$5:$D$304,"必須"))</f>
        <v/>
      </c>
    </row>
    <row r="85" customFormat="false" ht="15" hidden="false" customHeight="false" outlineLevel="0" collapsed="false">
      <c r="A85" s="8"/>
      <c r="B85" s="16"/>
      <c r="C85" s="16"/>
      <c r="D85" s="16"/>
      <c r="E85" s="8"/>
      <c r="F85" s="20" t="str">
        <f aca="false">IF(A85="","",COUNTIFS($A$5:$A$304,A85,$D$5:$D$304,"必須"))</f>
        <v/>
      </c>
    </row>
    <row r="86" customFormat="false" ht="15" hidden="false" customHeight="false" outlineLevel="0" collapsed="false">
      <c r="A86" s="8"/>
      <c r="B86" s="16"/>
      <c r="C86" s="16"/>
      <c r="D86" s="16"/>
      <c r="E86" s="8"/>
      <c r="F86" s="20" t="str">
        <f aca="false">IF(A86="","",COUNTIFS($A$5:$A$304,A86,$D$5:$D$304,"必須"))</f>
        <v/>
      </c>
    </row>
    <row r="87" customFormat="false" ht="15" hidden="false" customHeight="false" outlineLevel="0" collapsed="false">
      <c r="A87" s="8"/>
      <c r="B87" s="16"/>
      <c r="C87" s="16"/>
      <c r="D87" s="16"/>
      <c r="E87" s="8"/>
      <c r="F87" s="20" t="str">
        <f aca="false">IF(A87="","",COUNTIFS($A$5:$A$304,A87,$D$5:$D$304,"必須"))</f>
        <v/>
      </c>
    </row>
    <row r="88" customFormat="false" ht="15" hidden="false" customHeight="false" outlineLevel="0" collapsed="false">
      <c r="A88" s="8"/>
      <c r="B88" s="16"/>
      <c r="C88" s="16"/>
      <c r="D88" s="16"/>
      <c r="E88" s="8"/>
      <c r="F88" s="20" t="str">
        <f aca="false">IF(A88="","",COUNTIFS($A$5:$A$304,A88,$D$5:$D$304,"必須"))</f>
        <v/>
      </c>
    </row>
    <row r="89" customFormat="false" ht="15" hidden="false" customHeight="false" outlineLevel="0" collapsed="false">
      <c r="A89" s="8"/>
      <c r="B89" s="16"/>
      <c r="C89" s="16"/>
      <c r="D89" s="16"/>
      <c r="E89" s="8"/>
      <c r="F89" s="20" t="str">
        <f aca="false">IF(A89="","",COUNTIFS($A$5:$A$304,A89,$D$5:$D$304,"必須"))</f>
        <v/>
      </c>
    </row>
    <row r="90" customFormat="false" ht="15" hidden="false" customHeight="false" outlineLevel="0" collapsed="false">
      <c r="A90" s="8"/>
      <c r="B90" s="16"/>
      <c r="C90" s="16"/>
      <c r="D90" s="16"/>
      <c r="E90" s="8"/>
      <c r="F90" s="20" t="str">
        <f aca="false">IF(A90="","",COUNTIFS($A$5:$A$304,A90,$D$5:$D$304,"必須"))</f>
        <v/>
      </c>
    </row>
    <row r="91" customFormat="false" ht="15" hidden="false" customHeight="false" outlineLevel="0" collapsed="false">
      <c r="A91" s="8"/>
      <c r="B91" s="16"/>
      <c r="C91" s="16"/>
      <c r="D91" s="16"/>
      <c r="E91" s="8"/>
      <c r="F91" s="20" t="str">
        <f aca="false">IF(A91="","",COUNTIFS($A$5:$A$304,A91,$D$5:$D$304,"必須"))</f>
        <v/>
      </c>
    </row>
    <row r="92" customFormat="false" ht="15" hidden="false" customHeight="false" outlineLevel="0" collapsed="false">
      <c r="A92" s="8"/>
      <c r="B92" s="16"/>
      <c r="C92" s="16"/>
      <c r="D92" s="16"/>
      <c r="E92" s="8"/>
      <c r="F92" s="20" t="str">
        <f aca="false">IF(A92="","",COUNTIFS($A$5:$A$304,A92,$D$5:$D$304,"必須"))</f>
        <v/>
      </c>
    </row>
    <row r="93" customFormat="false" ht="15" hidden="false" customHeight="false" outlineLevel="0" collapsed="false">
      <c r="A93" s="8"/>
      <c r="B93" s="16"/>
      <c r="C93" s="16"/>
      <c r="D93" s="16"/>
      <c r="E93" s="8"/>
      <c r="F93" s="20" t="str">
        <f aca="false">IF(A93="","",COUNTIFS($A$5:$A$304,A93,$D$5:$D$304,"必須"))</f>
        <v/>
      </c>
    </row>
    <row r="94" customFormat="false" ht="15" hidden="false" customHeight="false" outlineLevel="0" collapsed="false">
      <c r="A94" s="8"/>
      <c r="B94" s="16"/>
      <c r="C94" s="16"/>
      <c r="D94" s="16"/>
      <c r="E94" s="8"/>
      <c r="F94" s="20" t="str">
        <f aca="false">IF(A94="","",COUNTIFS($A$5:$A$304,A94,$D$5:$D$304,"必須"))</f>
        <v/>
      </c>
    </row>
    <row r="95" customFormat="false" ht="15" hidden="false" customHeight="false" outlineLevel="0" collapsed="false">
      <c r="A95" s="8"/>
      <c r="B95" s="16"/>
      <c r="C95" s="16"/>
      <c r="D95" s="16"/>
      <c r="E95" s="8"/>
      <c r="F95" s="20" t="str">
        <f aca="false">IF(A95="","",COUNTIFS($A$5:$A$304,A95,$D$5:$D$304,"必須"))</f>
        <v/>
      </c>
    </row>
    <row r="96" customFormat="false" ht="15" hidden="false" customHeight="false" outlineLevel="0" collapsed="false">
      <c r="A96" s="8"/>
      <c r="B96" s="16"/>
      <c r="C96" s="16"/>
      <c r="D96" s="16"/>
      <c r="E96" s="8"/>
      <c r="F96" s="20" t="str">
        <f aca="false">IF(A96="","",COUNTIFS($A$5:$A$304,A96,$D$5:$D$304,"必須"))</f>
        <v/>
      </c>
    </row>
    <row r="97" customFormat="false" ht="15" hidden="false" customHeight="false" outlineLevel="0" collapsed="false">
      <c r="A97" s="8"/>
      <c r="B97" s="16"/>
      <c r="C97" s="16"/>
      <c r="D97" s="16"/>
      <c r="E97" s="8"/>
      <c r="F97" s="20" t="str">
        <f aca="false">IF(A97="","",COUNTIFS($A$5:$A$304,A97,$D$5:$D$304,"必須"))</f>
        <v/>
      </c>
    </row>
    <row r="98" customFormat="false" ht="15" hidden="false" customHeight="false" outlineLevel="0" collapsed="false">
      <c r="A98" s="8"/>
      <c r="B98" s="16"/>
      <c r="C98" s="16"/>
      <c r="D98" s="16"/>
      <c r="E98" s="8"/>
      <c r="F98" s="20" t="str">
        <f aca="false">IF(A98="","",COUNTIFS($A$5:$A$304,A98,$D$5:$D$304,"必須"))</f>
        <v/>
      </c>
    </row>
    <row r="99" customFormat="false" ht="15" hidden="false" customHeight="false" outlineLevel="0" collapsed="false">
      <c r="A99" s="8"/>
      <c r="B99" s="16"/>
      <c r="C99" s="16"/>
      <c r="D99" s="16"/>
      <c r="E99" s="8"/>
      <c r="F99" s="20" t="str">
        <f aca="false">IF(A99="","",COUNTIFS($A$5:$A$304,A99,$D$5:$D$304,"必須"))</f>
        <v/>
      </c>
    </row>
    <row r="100" customFormat="false" ht="15" hidden="false" customHeight="false" outlineLevel="0" collapsed="false">
      <c r="A100" s="8"/>
      <c r="B100" s="16"/>
      <c r="C100" s="16"/>
      <c r="D100" s="16"/>
      <c r="E100" s="8"/>
      <c r="F100" s="20" t="str">
        <f aca="false">IF(A100="","",COUNTIFS($A$5:$A$304,A100,$D$5:$D$304,"必須"))</f>
        <v/>
      </c>
    </row>
    <row r="101" customFormat="false" ht="15" hidden="false" customHeight="false" outlineLevel="0" collapsed="false">
      <c r="A101" s="8"/>
      <c r="B101" s="16"/>
      <c r="C101" s="16"/>
      <c r="D101" s="16"/>
      <c r="E101" s="8"/>
      <c r="F101" s="20" t="str">
        <f aca="false">IF(A101="","",COUNTIFS($A$5:$A$304,A101,$D$5:$D$304,"必須"))</f>
        <v/>
      </c>
    </row>
    <row r="102" customFormat="false" ht="15" hidden="false" customHeight="false" outlineLevel="0" collapsed="false">
      <c r="A102" s="8"/>
      <c r="B102" s="16"/>
      <c r="C102" s="16"/>
      <c r="D102" s="16"/>
      <c r="E102" s="8"/>
      <c r="F102" s="20" t="str">
        <f aca="false">IF(A102="","",COUNTIFS($A$5:$A$304,A102,$D$5:$D$304,"必須"))</f>
        <v/>
      </c>
    </row>
    <row r="103" customFormat="false" ht="15" hidden="false" customHeight="false" outlineLevel="0" collapsed="false">
      <c r="A103" s="8"/>
      <c r="B103" s="16"/>
      <c r="C103" s="16"/>
      <c r="D103" s="16"/>
      <c r="E103" s="8"/>
      <c r="F103" s="20" t="str">
        <f aca="false">IF(A103="","",COUNTIFS($A$5:$A$304,A103,$D$5:$D$304,"必須"))</f>
        <v/>
      </c>
    </row>
    <row r="104" customFormat="false" ht="15" hidden="false" customHeight="false" outlineLevel="0" collapsed="false">
      <c r="A104" s="8"/>
      <c r="B104" s="16"/>
      <c r="C104" s="16"/>
      <c r="D104" s="16"/>
      <c r="E104" s="8"/>
      <c r="F104" s="20" t="str">
        <f aca="false">IF(A104="","",COUNTIFS($A$5:$A$304,A104,$D$5:$D$304,"必須"))</f>
        <v/>
      </c>
    </row>
    <row r="105" customFormat="false" ht="15" hidden="false" customHeight="false" outlineLevel="0" collapsed="false">
      <c r="A105" s="8"/>
      <c r="B105" s="16"/>
      <c r="C105" s="16"/>
      <c r="D105" s="16"/>
      <c r="E105" s="8"/>
      <c r="F105" s="20" t="str">
        <f aca="false">IF(A105="","",COUNTIFS($A$5:$A$304,A105,$D$5:$D$304,"必須"))</f>
        <v/>
      </c>
    </row>
    <row r="106" customFormat="false" ht="15" hidden="false" customHeight="false" outlineLevel="0" collapsed="false">
      <c r="A106" s="8"/>
      <c r="B106" s="16"/>
      <c r="C106" s="16"/>
      <c r="D106" s="16"/>
      <c r="E106" s="8"/>
      <c r="F106" s="20" t="str">
        <f aca="false">IF(A106="","",COUNTIFS($A$5:$A$304,A106,$D$5:$D$304,"必須"))</f>
        <v/>
      </c>
    </row>
    <row r="107" customFormat="false" ht="15" hidden="false" customHeight="false" outlineLevel="0" collapsed="false">
      <c r="A107" s="8"/>
      <c r="B107" s="16"/>
      <c r="C107" s="16"/>
      <c r="D107" s="16"/>
      <c r="E107" s="8"/>
      <c r="F107" s="20" t="str">
        <f aca="false">IF(A107="","",COUNTIFS($A$5:$A$304,A107,$D$5:$D$304,"必須"))</f>
        <v/>
      </c>
    </row>
    <row r="108" customFormat="false" ht="15" hidden="false" customHeight="false" outlineLevel="0" collapsed="false">
      <c r="A108" s="8"/>
      <c r="B108" s="16"/>
      <c r="C108" s="16"/>
      <c r="D108" s="16"/>
      <c r="E108" s="8"/>
      <c r="F108" s="20" t="str">
        <f aca="false">IF(A108="","",COUNTIFS($A$5:$A$304,A108,$D$5:$D$304,"必須"))</f>
        <v/>
      </c>
    </row>
    <row r="109" customFormat="false" ht="15" hidden="false" customHeight="false" outlineLevel="0" collapsed="false">
      <c r="A109" s="8"/>
      <c r="B109" s="16"/>
      <c r="C109" s="16"/>
      <c r="D109" s="16"/>
      <c r="E109" s="8"/>
      <c r="F109" s="20" t="str">
        <f aca="false">IF(A109="","",COUNTIFS($A$5:$A$304,A109,$D$5:$D$304,"必須"))</f>
        <v/>
      </c>
    </row>
    <row r="110" customFormat="false" ht="15" hidden="false" customHeight="false" outlineLevel="0" collapsed="false">
      <c r="A110" s="8"/>
      <c r="B110" s="16"/>
      <c r="C110" s="16"/>
      <c r="D110" s="16"/>
      <c r="E110" s="8"/>
      <c r="F110" s="20" t="str">
        <f aca="false">IF(A110="","",COUNTIFS($A$5:$A$304,A110,$D$5:$D$304,"必須"))</f>
        <v/>
      </c>
    </row>
    <row r="111" customFormat="false" ht="15" hidden="false" customHeight="false" outlineLevel="0" collapsed="false">
      <c r="A111" s="8"/>
      <c r="B111" s="16"/>
      <c r="C111" s="16"/>
      <c r="D111" s="16"/>
      <c r="E111" s="8"/>
      <c r="F111" s="20" t="str">
        <f aca="false">IF(A111="","",COUNTIFS($A$5:$A$304,A111,$D$5:$D$304,"必須"))</f>
        <v/>
      </c>
    </row>
    <row r="112" customFormat="false" ht="15" hidden="false" customHeight="false" outlineLevel="0" collapsed="false">
      <c r="A112" s="8"/>
      <c r="B112" s="16"/>
      <c r="C112" s="16"/>
      <c r="D112" s="16"/>
      <c r="E112" s="8"/>
      <c r="F112" s="20" t="str">
        <f aca="false">IF(A112="","",COUNTIFS($A$5:$A$304,A112,$D$5:$D$304,"必須"))</f>
        <v/>
      </c>
    </row>
    <row r="113" customFormat="false" ht="15" hidden="false" customHeight="false" outlineLevel="0" collapsed="false">
      <c r="A113" s="8"/>
      <c r="B113" s="16"/>
      <c r="C113" s="16"/>
      <c r="D113" s="16"/>
      <c r="E113" s="8"/>
      <c r="F113" s="20" t="str">
        <f aca="false">IF(A113="","",COUNTIFS($A$5:$A$304,A113,$D$5:$D$304,"必須"))</f>
        <v/>
      </c>
    </row>
    <row r="114" customFormat="false" ht="15" hidden="false" customHeight="false" outlineLevel="0" collapsed="false">
      <c r="A114" s="8"/>
      <c r="B114" s="16"/>
      <c r="C114" s="16"/>
      <c r="D114" s="16"/>
      <c r="E114" s="8"/>
      <c r="F114" s="20" t="str">
        <f aca="false">IF(A114="","",COUNTIFS($A$5:$A$304,A114,$D$5:$D$304,"必須"))</f>
        <v/>
      </c>
    </row>
    <row r="115" customFormat="false" ht="15" hidden="false" customHeight="false" outlineLevel="0" collapsed="false">
      <c r="A115" s="8"/>
      <c r="B115" s="16"/>
      <c r="C115" s="16"/>
      <c r="D115" s="16"/>
      <c r="E115" s="8"/>
      <c r="F115" s="20" t="str">
        <f aca="false">IF(A115="","",COUNTIFS($A$5:$A$304,A115,$D$5:$D$304,"必須"))</f>
        <v/>
      </c>
    </row>
    <row r="116" customFormat="false" ht="15" hidden="false" customHeight="false" outlineLevel="0" collapsed="false">
      <c r="A116" s="8"/>
      <c r="B116" s="16"/>
      <c r="C116" s="16"/>
      <c r="D116" s="16"/>
      <c r="E116" s="8"/>
      <c r="F116" s="20" t="str">
        <f aca="false">IF(A116="","",COUNTIFS($A$5:$A$304,A116,$D$5:$D$304,"必須"))</f>
        <v/>
      </c>
    </row>
    <row r="117" customFormat="false" ht="15" hidden="false" customHeight="false" outlineLevel="0" collapsed="false">
      <c r="A117" s="8"/>
      <c r="B117" s="16"/>
      <c r="C117" s="16"/>
      <c r="D117" s="16"/>
      <c r="E117" s="8"/>
      <c r="F117" s="20" t="str">
        <f aca="false">IF(A117="","",COUNTIFS($A$5:$A$304,A117,$D$5:$D$304,"必須"))</f>
        <v/>
      </c>
    </row>
    <row r="118" customFormat="false" ht="15" hidden="false" customHeight="false" outlineLevel="0" collapsed="false">
      <c r="A118" s="8"/>
      <c r="B118" s="16"/>
      <c r="C118" s="16"/>
      <c r="D118" s="16"/>
      <c r="E118" s="8"/>
      <c r="F118" s="20" t="str">
        <f aca="false">IF(A118="","",COUNTIFS($A$5:$A$304,A118,$D$5:$D$304,"必須"))</f>
        <v/>
      </c>
    </row>
    <row r="119" customFormat="false" ht="15" hidden="false" customHeight="false" outlineLevel="0" collapsed="false">
      <c r="A119" s="8"/>
      <c r="B119" s="16"/>
      <c r="C119" s="16"/>
      <c r="D119" s="16"/>
      <c r="E119" s="8"/>
      <c r="F119" s="20" t="str">
        <f aca="false">IF(A119="","",COUNTIFS($A$5:$A$304,A119,$D$5:$D$304,"必須"))</f>
        <v/>
      </c>
    </row>
    <row r="120" customFormat="false" ht="15" hidden="false" customHeight="false" outlineLevel="0" collapsed="false">
      <c r="A120" s="8"/>
      <c r="B120" s="16"/>
      <c r="C120" s="16"/>
      <c r="D120" s="16"/>
      <c r="E120" s="8"/>
      <c r="F120" s="20" t="str">
        <f aca="false">IF(A120="","",COUNTIFS($A$5:$A$304,A120,$D$5:$D$304,"必須"))</f>
        <v/>
      </c>
    </row>
    <row r="121" customFormat="false" ht="15" hidden="false" customHeight="false" outlineLevel="0" collapsed="false">
      <c r="A121" s="8"/>
      <c r="B121" s="16"/>
      <c r="C121" s="16"/>
      <c r="D121" s="16"/>
      <c r="E121" s="8"/>
      <c r="F121" s="20" t="str">
        <f aca="false">IF(A121="","",COUNTIFS($A$5:$A$304,A121,$D$5:$D$304,"必須"))</f>
        <v/>
      </c>
    </row>
    <row r="122" customFormat="false" ht="15" hidden="false" customHeight="false" outlineLevel="0" collapsed="false">
      <c r="A122" s="8"/>
      <c r="B122" s="16"/>
      <c r="C122" s="16"/>
      <c r="D122" s="16"/>
      <c r="E122" s="8"/>
      <c r="F122" s="20" t="str">
        <f aca="false">IF(A122="","",COUNTIFS($A$5:$A$304,A122,$D$5:$D$304,"必須"))</f>
        <v/>
      </c>
    </row>
    <row r="123" customFormat="false" ht="15" hidden="false" customHeight="false" outlineLevel="0" collapsed="false">
      <c r="A123" s="8"/>
      <c r="B123" s="16"/>
      <c r="C123" s="16"/>
      <c r="D123" s="16"/>
      <c r="E123" s="8"/>
      <c r="F123" s="20" t="str">
        <f aca="false">IF(A123="","",COUNTIFS($A$5:$A$304,A123,$D$5:$D$304,"必須"))</f>
        <v/>
      </c>
    </row>
    <row r="124" customFormat="false" ht="15" hidden="false" customHeight="false" outlineLevel="0" collapsed="false">
      <c r="A124" s="8"/>
      <c r="B124" s="16"/>
      <c r="C124" s="16"/>
      <c r="D124" s="16"/>
      <c r="E124" s="8"/>
      <c r="F124" s="20" t="str">
        <f aca="false">IF(A124="","",COUNTIFS($A$5:$A$304,A124,$D$5:$D$304,"必須"))</f>
        <v/>
      </c>
    </row>
    <row r="125" customFormat="false" ht="15" hidden="false" customHeight="false" outlineLevel="0" collapsed="false">
      <c r="A125" s="8"/>
      <c r="B125" s="16"/>
      <c r="C125" s="16"/>
      <c r="D125" s="16"/>
      <c r="E125" s="8"/>
      <c r="F125" s="20" t="str">
        <f aca="false">IF(A125="","",COUNTIFS($A$5:$A$304,A125,$D$5:$D$304,"必須"))</f>
        <v/>
      </c>
    </row>
    <row r="126" customFormat="false" ht="15" hidden="false" customHeight="false" outlineLevel="0" collapsed="false">
      <c r="A126" s="8"/>
      <c r="B126" s="16"/>
      <c r="C126" s="16"/>
      <c r="D126" s="16"/>
      <c r="E126" s="8"/>
      <c r="F126" s="20" t="str">
        <f aca="false">IF(A126="","",COUNTIFS($A$5:$A$304,A126,$D$5:$D$304,"必須"))</f>
        <v/>
      </c>
    </row>
    <row r="127" customFormat="false" ht="15" hidden="false" customHeight="false" outlineLevel="0" collapsed="false">
      <c r="A127" s="8"/>
      <c r="B127" s="16"/>
      <c r="C127" s="16"/>
      <c r="D127" s="16"/>
      <c r="E127" s="8"/>
      <c r="F127" s="20" t="str">
        <f aca="false">IF(A127="","",COUNTIFS($A$5:$A$304,A127,$D$5:$D$304,"必須"))</f>
        <v/>
      </c>
    </row>
    <row r="128" customFormat="false" ht="15" hidden="false" customHeight="false" outlineLevel="0" collapsed="false">
      <c r="A128" s="8"/>
      <c r="B128" s="16"/>
      <c r="C128" s="16"/>
      <c r="D128" s="16"/>
      <c r="E128" s="8"/>
      <c r="F128" s="20" t="str">
        <f aca="false">IF(A128="","",COUNTIFS($A$5:$A$304,A128,$D$5:$D$304,"必須"))</f>
        <v/>
      </c>
    </row>
    <row r="129" customFormat="false" ht="15" hidden="false" customHeight="false" outlineLevel="0" collapsed="false">
      <c r="A129" s="8"/>
      <c r="B129" s="16"/>
      <c r="C129" s="16"/>
      <c r="D129" s="16"/>
      <c r="E129" s="8"/>
      <c r="F129" s="20" t="str">
        <f aca="false">IF(A129="","",COUNTIFS($A$5:$A$304,A129,$D$5:$D$304,"必須"))</f>
        <v/>
      </c>
    </row>
    <row r="130" customFormat="false" ht="15" hidden="false" customHeight="false" outlineLevel="0" collapsed="false">
      <c r="A130" s="8"/>
      <c r="B130" s="16"/>
      <c r="C130" s="16"/>
      <c r="D130" s="16"/>
      <c r="E130" s="8"/>
      <c r="F130" s="20" t="str">
        <f aca="false">IF(A130="","",COUNTIFS($A$5:$A$304,A130,$D$5:$D$304,"必須"))</f>
        <v/>
      </c>
    </row>
    <row r="131" customFormat="false" ht="15" hidden="false" customHeight="false" outlineLevel="0" collapsed="false">
      <c r="A131" s="8"/>
      <c r="B131" s="16"/>
      <c r="C131" s="16"/>
      <c r="D131" s="16"/>
      <c r="E131" s="8"/>
      <c r="F131" s="20" t="str">
        <f aca="false">IF(A131="","",COUNTIFS($A$5:$A$304,A131,$D$5:$D$304,"必須"))</f>
        <v/>
      </c>
    </row>
    <row r="132" customFormat="false" ht="15" hidden="false" customHeight="false" outlineLevel="0" collapsed="false">
      <c r="A132" s="8"/>
      <c r="B132" s="16"/>
      <c r="C132" s="16"/>
      <c r="D132" s="16"/>
      <c r="E132" s="8"/>
      <c r="F132" s="20" t="str">
        <f aca="false">IF(A132="","",COUNTIFS($A$5:$A$304,A132,$D$5:$D$304,"必須"))</f>
        <v/>
      </c>
    </row>
    <row r="133" customFormat="false" ht="15" hidden="false" customHeight="false" outlineLevel="0" collapsed="false">
      <c r="A133" s="8"/>
      <c r="B133" s="16"/>
      <c r="C133" s="16"/>
      <c r="D133" s="16"/>
      <c r="E133" s="8"/>
      <c r="F133" s="20" t="str">
        <f aca="false">IF(A133="","",COUNTIFS($A$5:$A$304,A133,$D$5:$D$304,"必須"))</f>
        <v/>
      </c>
    </row>
    <row r="134" customFormat="false" ht="15" hidden="false" customHeight="false" outlineLevel="0" collapsed="false">
      <c r="A134" s="8"/>
      <c r="B134" s="16"/>
      <c r="C134" s="16"/>
      <c r="D134" s="16"/>
      <c r="E134" s="8"/>
      <c r="F134" s="20" t="str">
        <f aca="false">IF(A134="","",COUNTIFS($A$5:$A$304,A134,$D$5:$D$304,"必須"))</f>
        <v/>
      </c>
    </row>
    <row r="135" customFormat="false" ht="15" hidden="false" customHeight="false" outlineLevel="0" collapsed="false">
      <c r="A135" s="8"/>
      <c r="B135" s="16"/>
      <c r="C135" s="16"/>
      <c r="D135" s="16"/>
      <c r="E135" s="8"/>
      <c r="F135" s="20" t="str">
        <f aca="false">IF(A135="","",COUNTIFS($A$5:$A$304,A135,$D$5:$D$304,"必須"))</f>
        <v/>
      </c>
    </row>
    <row r="136" customFormat="false" ht="15" hidden="false" customHeight="false" outlineLevel="0" collapsed="false">
      <c r="A136" s="8"/>
      <c r="B136" s="16"/>
      <c r="C136" s="16"/>
      <c r="D136" s="16"/>
      <c r="E136" s="8"/>
      <c r="F136" s="20" t="str">
        <f aca="false">IF(A136="","",COUNTIFS($A$5:$A$304,A136,$D$5:$D$304,"必須"))</f>
        <v/>
      </c>
    </row>
    <row r="137" customFormat="false" ht="15" hidden="false" customHeight="false" outlineLevel="0" collapsed="false">
      <c r="A137" s="8"/>
      <c r="B137" s="16"/>
      <c r="C137" s="16"/>
      <c r="D137" s="16"/>
      <c r="E137" s="8"/>
      <c r="F137" s="20" t="str">
        <f aca="false">IF(A137="","",COUNTIFS($A$5:$A$304,A137,$D$5:$D$304,"必須"))</f>
        <v/>
      </c>
    </row>
    <row r="138" customFormat="false" ht="15" hidden="false" customHeight="false" outlineLevel="0" collapsed="false">
      <c r="A138" s="8"/>
      <c r="B138" s="16"/>
      <c r="C138" s="16"/>
      <c r="D138" s="16"/>
      <c r="E138" s="8"/>
      <c r="F138" s="20" t="str">
        <f aca="false">IF(A138="","",COUNTIFS($A$5:$A$304,A138,$D$5:$D$304,"必須"))</f>
        <v/>
      </c>
    </row>
    <row r="139" customFormat="false" ht="15" hidden="false" customHeight="false" outlineLevel="0" collapsed="false">
      <c r="A139" s="8"/>
      <c r="B139" s="16"/>
      <c r="C139" s="16"/>
      <c r="D139" s="16"/>
      <c r="E139" s="8"/>
      <c r="F139" s="20" t="str">
        <f aca="false">IF(A139="","",COUNTIFS($A$5:$A$304,A139,$D$5:$D$304,"必須"))</f>
        <v/>
      </c>
    </row>
    <row r="140" customFormat="false" ht="15" hidden="false" customHeight="false" outlineLevel="0" collapsed="false">
      <c r="A140" s="8"/>
      <c r="B140" s="16"/>
      <c r="C140" s="16"/>
      <c r="D140" s="16"/>
      <c r="E140" s="8"/>
      <c r="F140" s="20" t="str">
        <f aca="false">IF(A140="","",COUNTIFS($A$5:$A$304,A140,$D$5:$D$304,"必須"))</f>
        <v/>
      </c>
    </row>
    <row r="141" customFormat="false" ht="15" hidden="false" customHeight="false" outlineLevel="0" collapsed="false">
      <c r="A141" s="8"/>
      <c r="B141" s="16"/>
      <c r="C141" s="16"/>
      <c r="D141" s="16"/>
      <c r="E141" s="8"/>
      <c r="F141" s="20" t="str">
        <f aca="false">IF(A141="","",COUNTIFS($A$5:$A$304,A141,$D$5:$D$304,"必須"))</f>
        <v/>
      </c>
    </row>
    <row r="142" customFormat="false" ht="15" hidden="false" customHeight="false" outlineLevel="0" collapsed="false">
      <c r="A142" s="8"/>
      <c r="B142" s="16"/>
      <c r="C142" s="16"/>
      <c r="D142" s="16"/>
      <c r="E142" s="8"/>
      <c r="F142" s="20" t="str">
        <f aca="false">IF(A142="","",COUNTIFS($A$5:$A$304,A142,$D$5:$D$304,"必須"))</f>
        <v/>
      </c>
    </row>
    <row r="143" customFormat="false" ht="15" hidden="false" customHeight="false" outlineLevel="0" collapsed="false">
      <c r="A143" s="8"/>
      <c r="B143" s="16"/>
      <c r="C143" s="16"/>
      <c r="D143" s="16"/>
      <c r="E143" s="8"/>
      <c r="F143" s="20" t="str">
        <f aca="false">IF(A143="","",COUNTIFS($A$5:$A$304,A143,$D$5:$D$304,"必須"))</f>
        <v/>
      </c>
    </row>
    <row r="144" customFormat="false" ht="15" hidden="false" customHeight="false" outlineLevel="0" collapsed="false">
      <c r="A144" s="8"/>
      <c r="B144" s="16"/>
      <c r="C144" s="16"/>
      <c r="D144" s="16"/>
      <c r="E144" s="8"/>
      <c r="F144" s="20" t="str">
        <f aca="false">IF(A144="","",COUNTIFS($A$5:$A$304,A144,$D$5:$D$304,"必須"))</f>
        <v/>
      </c>
    </row>
    <row r="145" customFormat="false" ht="15" hidden="false" customHeight="false" outlineLevel="0" collapsed="false">
      <c r="A145" s="8"/>
      <c r="B145" s="16"/>
      <c r="C145" s="16"/>
      <c r="D145" s="16"/>
      <c r="E145" s="8"/>
      <c r="F145" s="20" t="str">
        <f aca="false">IF(A145="","",COUNTIFS($A$5:$A$304,A145,$D$5:$D$304,"必須"))</f>
        <v/>
      </c>
    </row>
    <row r="146" customFormat="false" ht="15" hidden="false" customHeight="false" outlineLevel="0" collapsed="false">
      <c r="A146" s="8"/>
      <c r="B146" s="16"/>
      <c r="C146" s="16"/>
      <c r="D146" s="16"/>
      <c r="E146" s="8"/>
      <c r="F146" s="20" t="str">
        <f aca="false">IF(A146="","",COUNTIFS($A$5:$A$304,A146,$D$5:$D$304,"必須"))</f>
        <v/>
      </c>
    </row>
    <row r="147" customFormat="false" ht="15" hidden="false" customHeight="false" outlineLevel="0" collapsed="false">
      <c r="A147" s="8"/>
      <c r="B147" s="16"/>
      <c r="C147" s="16"/>
      <c r="D147" s="16"/>
      <c r="E147" s="8"/>
      <c r="F147" s="20" t="str">
        <f aca="false">IF(A147="","",COUNTIFS($A$5:$A$304,A147,$D$5:$D$304,"必須"))</f>
        <v/>
      </c>
    </row>
    <row r="148" customFormat="false" ht="15" hidden="false" customHeight="false" outlineLevel="0" collapsed="false">
      <c r="A148" s="8"/>
      <c r="B148" s="16"/>
      <c r="C148" s="16"/>
      <c r="D148" s="16"/>
      <c r="E148" s="8"/>
      <c r="F148" s="20" t="str">
        <f aca="false">IF(A148="","",COUNTIFS($A$5:$A$304,A148,$D$5:$D$304,"必須"))</f>
        <v/>
      </c>
    </row>
    <row r="149" customFormat="false" ht="15" hidden="false" customHeight="false" outlineLevel="0" collapsed="false">
      <c r="A149" s="8"/>
      <c r="B149" s="16"/>
      <c r="C149" s="16"/>
      <c r="D149" s="16"/>
      <c r="E149" s="8"/>
      <c r="F149" s="20" t="str">
        <f aca="false">IF(A149="","",COUNTIFS($A$5:$A$304,A149,$D$5:$D$304,"必須"))</f>
        <v/>
      </c>
    </row>
    <row r="150" customFormat="false" ht="15" hidden="false" customHeight="false" outlineLevel="0" collapsed="false">
      <c r="A150" s="8"/>
      <c r="B150" s="16"/>
      <c r="C150" s="16"/>
      <c r="D150" s="16"/>
      <c r="E150" s="8"/>
      <c r="F150" s="20" t="str">
        <f aca="false">IF(A150="","",COUNTIFS($A$5:$A$304,A150,$D$5:$D$304,"必須"))</f>
        <v/>
      </c>
    </row>
    <row r="151" customFormat="false" ht="15" hidden="false" customHeight="false" outlineLevel="0" collapsed="false">
      <c r="A151" s="8"/>
      <c r="B151" s="16"/>
      <c r="C151" s="16"/>
      <c r="D151" s="16"/>
      <c r="E151" s="8"/>
      <c r="F151" s="20" t="str">
        <f aca="false">IF(A151="","",COUNTIFS($A$5:$A$304,A151,$D$5:$D$304,"必須"))</f>
        <v/>
      </c>
    </row>
    <row r="152" customFormat="false" ht="15" hidden="false" customHeight="false" outlineLevel="0" collapsed="false">
      <c r="A152" s="8"/>
      <c r="B152" s="16"/>
      <c r="C152" s="16"/>
      <c r="D152" s="16"/>
      <c r="E152" s="8"/>
      <c r="F152" s="20" t="str">
        <f aca="false">IF(A152="","",COUNTIFS($A$5:$A$304,A152,$D$5:$D$304,"必須"))</f>
        <v/>
      </c>
    </row>
    <row r="153" customFormat="false" ht="15" hidden="false" customHeight="false" outlineLevel="0" collapsed="false">
      <c r="A153" s="8"/>
      <c r="B153" s="16"/>
      <c r="C153" s="16"/>
      <c r="D153" s="16"/>
      <c r="E153" s="8"/>
      <c r="F153" s="20" t="str">
        <f aca="false">IF(A153="","",COUNTIFS($A$5:$A$304,A153,$D$5:$D$304,"必須"))</f>
        <v/>
      </c>
    </row>
    <row r="154" customFormat="false" ht="15" hidden="false" customHeight="false" outlineLevel="0" collapsed="false">
      <c r="A154" s="8"/>
      <c r="B154" s="16"/>
      <c r="C154" s="16"/>
      <c r="D154" s="16"/>
      <c r="E154" s="8"/>
      <c r="F154" s="20" t="str">
        <f aca="false">IF(A154="","",COUNTIFS($A$5:$A$304,A154,$D$5:$D$304,"必須"))</f>
        <v/>
      </c>
    </row>
    <row r="155" customFormat="false" ht="15" hidden="false" customHeight="false" outlineLevel="0" collapsed="false">
      <c r="A155" s="8"/>
      <c r="B155" s="16"/>
      <c r="C155" s="16"/>
      <c r="D155" s="16"/>
      <c r="E155" s="8"/>
      <c r="F155" s="20" t="str">
        <f aca="false">IF(A155="","",COUNTIFS($A$5:$A$304,A155,$D$5:$D$304,"必須"))</f>
        <v/>
      </c>
    </row>
    <row r="156" customFormat="false" ht="15" hidden="false" customHeight="false" outlineLevel="0" collapsed="false">
      <c r="A156" s="8"/>
      <c r="B156" s="16"/>
      <c r="C156" s="16"/>
      <c r="D156" s="16"/>
      <c r="E156" s="8"/>
      <c r="F156" s="20" t="str">
        <f aca="false">IF(A156="","",COUNTIFS($A$5:$A$304,A156,$D$5:$D$304,"必須"))</f>
        <v/>
      </c>
    </row>
    <row r="157" customFormat="false" ht="15" hidden="false" customHeight="false" outlineLevel="0" collapsed="false">
      <c r="A157" s="8"/>
      <c r="B157" s="16"/>
      <c r="C157" s="16"/>
      <c r="D157" s="16"/>
      <c r="E157" s="8"/>
      <c r="F157" s="20" t="str">
        <f aca="false">IF(A157="","",COUNTIFS($A$5:$A$304,A157,$D$5:$D$304,"必須"))</f>
        <v/>
      </c>
    </row>
    <row r="158" customFormat="false" ht="15" hidden="false" customHeight="false" outlineLevel="0" collapsed="false">
      <c r="A158" s="8"/>
      <c r="B158" s="16"/>
      <c r="C158" s="16"/>
      <c r="D158" s="16"/>
      <c r="E158" s="8"/>
      <c r="F158" s="20" t="str">
        <f aca="false">IF(A158="","",COUNTIFS($A$5:$A$304,A158,$D$5:$D$304,"必須"))</f>
        <v/>
      </c>
    </row>
    <row r="159" customFormat="false" ht="15" hidden="false" customHeight="false" outlineLevel="0" collapsed="false">
      <c r="A159" s="8"/>
      <c r="B159" s="16"/>
      <c r="C159" s="16"/>
      <c r="D159" s="16"/>
      <c r="E159" s="8"/>
      <c r="F159" s="20" t="str">
        <f aca="false">IF(A159="","",COUNTIFS($A$5:$A$304,A159,$D$5:$D$304,"必須"))</f>
        <v/>
      </c>
    </row>
    <row r="160" customFormat="false" ht="15" hidden="false" customHeight="false" outlineLevel="0" collapsed="false">
      <c r="A160" s="8"/>
      <c r="B160" s="16"/>
      <c r="C160" s="16"/>
      <c r="D160" s="16"/>
      <c r="E160" s="8"/>
      <c r="F160" s="20" t="str">
        <f aca="false">IF(A160="","",COUNTIFS($A$5:$A$304,A160,$D$5:$D$304,"必須"))</f>
        <v/>
      </c>
    </row>
    <row r="161" customFormat="false" ht="15" hidden="false" customHeight="false" outlineLevel="0" collapsed="false">
      <c r="A161" s="8"/>
      <c r="B161" s="16"/>
      <c r="C161" s="16"/>
      <c r="D161" s="16"/>
      <c r="E161" s="8"/>
      <c r="F161" s="20" t="str">
        <f aca="false">IF(A161="","",COUNTIFS($A$5:$A$304,A161,$D$5:$D$304,"必須"))</f>
        <v/>
      </c>
    </row>
    <row r="162" customFormat="false" ht="15" hidden="false" customHeight="false" outlineLevel="0" collapsed="false">
      <c r="A162" s="8"/>
      <c r="B162" s="16"/>
      <c r="C162" s="16"/>
      <c r="D162" s="16"/>
      <c r="E162" s="8"/>
      <c r="F162" s="20" t="str">
        <f aca="false">IF(A162="","",COUNTIFS($A$5:$A$304,A162,$D$5:$D$304,"必須"))</f>
        <v/>
      </c>
    </row>
    <row r="163" customFormat="false" ht="15" hidden="false" customHeight="false" outlineLevel="0" collapsed="false">
      <c r="A163" s="8"/>
      <c r="B163" s="16"/>
      <c r="C163" s="16"/>
      <c r="D163" s="16"/>
      <c r="E163" s="8"/>
      <c r="F163" s="20" t="str">
        <f aca="false">IF(A163="","",COUNTIFS($A$5:$A$304,A163,$D$5:$D$304,"必須"))</f>
        <v/>
      </c>
    </row>
    <row r="164" customFormat="false" ht="15" hidden="false" customHeight="false" outlineLevel="0" collapsed="false">
      <c r="A164" s="8"/>
      <c r="B164" s="16"/>
      <c r="C164" s="16"/>
      <c r="D164" s="16"/>
      <c r="E164" s="8"/>
      <c r="F164" s="20" t="str">
        <f aca="false">IF(A164="","",COUNTIFS($A$5:$A$304,A164,$D$5:$D$304,"必須"))</f>
        <v/>
      </c>
    </row>
    <row r="165" customFormat="false" ht="15" hidden="false" customHeight="false" outlineLevel="0" collapsed="false">
      <c r="A165" s="8"/>
      <c r="B165" s="16"/>
      <c r="C165" s="16"/>
      <c r="D165" s="16"/>
      <c r="E165" s="8"/>
      <c r="F165" s="20" t="str">
        <f aca="false">IF(A165="","",COUNTIFS($A$5:$A$304,A165,$D$5:$D$304,"必須"))</f>
        <v/>
      </c>
    </row>
    <row r="166" customFormat="false" ht="15" hidden="false" customHeight="false" outlineLevel="0" collapsed="false">
      <c r="A166" s="8"/>
      <c r="B166" s="16"/>
      <c r="C166" s="16"/>
      <c r="D166" s="16"/>
      <c r="E166" s="8"/>
      <c r="F166" s="20" t="str">
        <f aca="false">IF(A166="","",COUNTIFS($A$5:$A$304,A166,$D$5:$D$304,"必須"))</f>
        <v/>
      </c>
    </row>
    <row r="167" customFormat="false" ht="15" hidden="false" customHeight="false" outlineLevel="0" collapsed="false">
      <c r="A167" s="8"/>
      <c r="B167" s="16"/>
      <c r="C167" s="16"/>
      <c r="D167" s="16"/>
      <c r="E167" s="8"/>
      <c r="F167" s="20" t="str">
        <f aca="false">IF(A167="","",COUNTIFS($A$5:$A$304,A167,$D$5:$D$304,"必須"))</f>
        <v/>
      </c>
    </row>
    <row r="168" customFormat="false" ht="15" hidden="false" customHeight="false" outlineLevel="0" collapsed="false">
      <c r="A168" s="8"/>
      <c r="B168" s="16"/>
      <c r="C168" s="16"/>
      <c r="D168" s="16"/>
      <c r="E168" s="8"/>
      <c r="F168" s="20" t="str">
        <f aca="false">IF(A168="","",COUNTIFS($A$5:$A$304,A168,$D$5:$D$304,"必須"))</f>
        <v/>
      </c>
    </row>
    <row r="169" customFormat="false" ht="15" hidden="false" customHeight="false" outlineLevel="0" collapsed="false">
      <c r="A169" s="8"/>
      <c r="B169" s="16"/>
      <c r="C169" s="16"/>
      <c r="D169" s="16"/>
      <c r="E169" s="8"/>
      <c r="F169" s="20" t="str">
        <f aca="false">IF(A169="","",COUNTIFS($A$5:$A$304,A169,$D$5:$D$304,"必須"))</f>
        <v/>
      </c>
    </row>
    <row r="170" customFormat="false" ht="15" hidden="false" customHeight="false" outlineLevel="0" collapsed="false">
      <c r="A170" s="8"/>
      <c r="B170" s="16"/>
      <c r="C170" s="16"/>
      <c r="D170" s="16"/>
      <c r="E170" s="8"/>
      <c r="F170" s="20" t="str">
        <f aca="false">IF(A170="","",COUNTIFS($A$5:$A$304,A170,$D$5:$D$304,"必須"))</f>
        <v/>
      </c>
    </row>
    <row r="171" customFormat="false" ht="15" hidden="false" customHeight="false" outlineLevel="0" collapsed="false">
      <c r="A171" s="8"/>
      <c r="B171" s="16"/>
      <c r="C171" s="16"/>
      <c r="D171" s="16"/>
      <c r="E171" s="8"/>
      <c r="F171" s="20" t="str">
        <f aca="false">IF(A171="","",COUNTIFS($A$5:$A$304,A171,$D$5:$D$304,"必須"))</f>
        <v/>
      </c>
    </row>
    <row r="172" customFormat="false" ht="15" hidden="false" customHeight="false" outlineLevel="0" collapsed="false">
      <c r="A172" s="8"/>
      <c r="B172" s="16"/>
      <c r="C172" s="16"/>
      <c r="D172" s="16"/>
      <c r="E172" s="8"/>
      <c r="F172" s="20" t="str">
        <f aca="false">IF(A172="","",COUNTIFS($A$5:$A$304,A172,$D$5:$D$304,"必須"))</f>
        <v/>
      </c>
    </row>
    <row r="173" customFormat="false" ht="15" hidden="false" customHeight="false" outlineLevel="0" collapsed="false">
      <c r="A173" s="8"/>
      <c r="B173" s="16"/>
      <c r="C173" s="16"/>
      <c r="D173" s="16"/>
      <c r="E173" s="8"/>
      <c r="F173" s="20" t="str">
        <f aca="false">IF(A173="","",COUNTIFS($A$5:$A$304,A173,$D$5:$D$304,"必須"))</f>
        <v/>
      </c>
    </row>
    <row r="174" customFormat="false" ht="15" hidden="false" customHeight="false" outlineLevel="0" collapsed="false">
      <c r="A174" s="8"/>
      <c r="B174" s="16"/>
      <c r="C174" s="16"/>
      <c r="D174" s="16"/>
      <c r="E174" s="8"/>
      <c r="F174" s="20" t="str">
        <f aca="false">IF(A174="","",COUNTIFS($A$5:$A$304,A174,$D$5:$D$304,"必須"))</f>
        <v/>
      </c>
    </row>
    <row r="175" customFormat="false" ht="15" hidden="false" customHeight="false" outlineLevel="0" collapsed="false">
      <c r="A175" s="8"/>
      <c r="B175" s="16"/>
      <c r="C175" s="16"/>
      <c r="D175" s="16"/>
      <c r="E175" s="8"/>
      <c r="F175" s="20" t="str">
        <f aca="false">IF(A175="","",COUNTIFS($A$5:$A$304,A175,$D$5:$D$304,"必須"))</f>
        <v/>
      </c>
    </row>
    <row r="176" customFormat="false" ht="15" hidden="false" customHeight="false" outlineLevel="0" collapsed="false">
      <c r="A176" s="8"/>
      <c r="B176" s="16"/>
      <c r="C176" s="16"/>
      <c r="D176" s="16"/>
      <c r="E176" s="8"/>
      <c r="F176" s="20" t="str">
        <f aca="false">IF(A176="","",COUNTIFS($A$5:$A$304,A176,$D$5:$D$304,"必須"))</f>
        <v/>
      </c>
    </row>
    <row r="177" customFormat="false" ht="15" hidden="false" customHeight="false" outlineLevel="0" collapsed="false">
      <c r="A177" s="8"/>
      <c r="B177" s="16"/>
      <c r="C177" s="16"/>
      <c r="D177" s="16"/>
      <c r="E177" s="8"/>
      <c r="F177" s="20" t="str">
        <f aca="false">IF(A177="","",COUNTIFS($A$5:$A$304,A177,$D$5:$D$304,"必須"))</f>
        <v/>
      </c>
    </row>
    <row r="178" customFormat="false" ht="15" hidden="false" customHeight="false" outlineLevel="0" collapsed="false">
      <c r="A178" s="8"/>
      <c r="B178" s="16"/>
      <c r="C178" s="16"/>
      <c r="D178" s="16"/>
      <c r="E178" s="8"/>
      <c r="F178" s="20" t="str">
        <f aca="false">IF(A178="","",COUNTIFS($A$5:$A$304,A178,$D$5:$D$304,"必須"))</f>
        <v/>
      </c>
    </row>
    <row r="179" customFormat="false" ht="15" hidden="false" customHeight="false" outlineLevel="0" collapsed="false">
      <c r="A179" s="8"/>
      <c r="B179" s="16"/>
      <c r="C179" s="16"/>
      <c r="D179" s="16"/>
      <c r="E179" s="8"/>
      <c r="F179" s="20" t="str">
        <f aca="false">IF(A179="","",COUNTIFS($A$5:$A$304,A179,$D$5:$D$304,"必須"))</f>
        <v/>
      </c>
    </row>
    <row r="180" customFormat="false" ht="15" hidden="false" customHeight="false" outlineLevel="0" collapsed="false">
      <c r="A180" s="8"/>
      <c r="B180" s="16"/>
      <c r="C180" s="16"/>
      <c r="D180" s="16"/>
      <c r="E180" s="8"/>
      <c r="F180" s="20" t="str">
        <f aca="false">IF(A180="","",COUNTIFS($A$5:$A$304,A180,$D$5:$D$304,"必須"))</f>
        <v/>
      </c>
    </row>
    <row r="181" customFormat="false" ht="15" hidden="false" customHeight="false" outlineLevel="0" collapsed="false">
      <c r="A181" s="8"/>
      <c r="B181" s="16"/>
      <c r="C181" s="16"/>
      <c r="D181" s="16"/>
      <c r="E181" s="8"/>
      <c r="F181" s="20" t="str">
        <f aca="false">IF(A181="","",COUNTIFS($A$5:$A$304,A181,$D$5:$D$304,"必須"))</f>
        <v/>
      </c>
    </row>
    <row r="182" customFormat="false" ht="15" hidden="false" customHeight="false" outlineLevel="0" collapsed="false">
      <c r="A182" s="8"/>
      <c r="B182" s="16"/>
      <c r="C182" s="16"/>
      <c r="D182" s="16"/>
      <c r="E182" s="8"/>
      <c r="F182" s="20" t="str">
        <f aca="false">IF(A182="","",COUNTIFS($A$5:$A$304,A182,$D$5:$D$304,"必須"))</f>
        <v/>
      </c>
    </row>
    <row r="183" customFormat="false" ht="15" hidden="false" customHeight="false" outlineLevel="0" collapsed="false">
      <c r="A183" s="8"/>
      <c r="B183" s="16"/>
      <c r="C183" s="16"/>
      <c r="D183" s="16"/>
      <c r="E183" s="8"/>
      <c r="F183" s="20" t="str">
        <f aca="false">IF(A183="","",COUNTIFS($A$5:$A$304,A183,$D$5:$D$304,"必須"))</f>
        <v/>
      </c>
    </row>
    <row r="184" customFormat="false" ht="15" hidden="false" customHeight="false" outlineLevel="0" collapsed="false">
      <c r="A184" s="8"/>
      <c r="B184" s="16"/>
      <c r="C184" s="16"/>
      <c r="D184" s="16"/>
      <c r="E184" s="8"/>
      <c r="F184" s="20" t="str">
        <f aca="false">IF(A184="","",COUNTIFS($A$5:$A$304,A184,$D$5:$D$304,"必須"))</f>
        <v/>
      </c>
    </row>
    <row r="185" customFormat="false" ht="15" hidden="false" customHeight="false" outlineLevel="0" collapsed="false">
      <c r="A185" s="8"/>
      <c r="B185" s="16"/>
      <c r="C185" s="16"/>
      <c r="D185" s="16"/>
      <c r="E185" s="8"/>
      <c r="F185" s="20" t="str">
        <f aca="false">IF(A185="","",COUNTIFS($A$5:$A$304,A185,$D$5:$D$304,"必須"))</f>
        <v/>
      </c>
    </row>
    <row r="186" customFormat="false" ht="15" hidden="false" customHeight="false" outlineLevel="0" collapsed="false">
      <c r="A186" s="8"/>
      <c r="B186" s="16"/>
      <c r="C186" s="16"/>
      <c r="D186" s="16"/>
      <c r="E186" s="8"/>
      <c r="F186" s="20" t="str">
        <f aca="false">IF(A186="","",COUNTIFS($A$5:$A$304,A186,$D$5:$D$304,"必須"))</f>
        <v/>
      </c>
    </row>
    <row r="187" customFormat="false" ht="15" hidden="false" customHeight="false" outlineLevel="0" collapsed="false">
      <c r="A187" s="8"/>
      <c r="B187" s="16"/>
      <c r="C187" s="16"/>
      <c r="D187" s="16"/>
      <c r="E187" s="8"/>
      <c r="F187" s="20" t="str">
        <f aca="false">IF(A187="","",COUNTIFS($A$5:$A$304,A187,$D$5:$D$304,"必須"))</f>
        <v/>
      </c>
    </row>
    <row r="188" customFormat="false" ht="15" hidden="false" customHeight="false" outlineLevel="0" collapsed="false">
      <c r="A188" s="8"/>
      <c r="B188" s="16"/>
      <c r="C188" s="16"/>
      <c r="D188" s="16"/>
      <c r="E188" s="8"/>
      <c r="F188" s="20" t="str">
        <f aca="false">IF(A188="","",COUNTIFS($A$5:$A$304,A188,$D$5:$D$304,"必須"))</f>
        <v/>
      </c>
    </row>
    <row r="189" customFormat="false" ht="15" hidden="false" customHeight="false" outlineLevel="0" collapsed="false">
      <c r="A189" s="8"/>
      <c r="B189" s="16"/>
      <c r="C189" s="16"/>
      <c r="D189" s="16"/>
      <c r="E189" s="8"/>
      <c r="F189" s="20" t="str">
        <f aca="false">IF(A189="","",COUNTIFS($A$5:$A$304,A189,$D$5:$D$304,"必須"))</f>
        <v/>
      </c>
    </row>
    <row r="190" customFormat="false" ht="15" hidden="false" customHeight="false" outlineLevel="0" collapsed="false">
      <c r="A190" s="8"/>
      <c r="B190" s="16"/>
      <c r="C190" s="16"/>
      <c r="D190" s="16"/>
      <c r="E190" s="8"/>
      <c r="F190" s="20" t="str">
        <f aca="false">IF(A190="","",COUNTIFS($A$5:$A$304,A190,$D$5:$D$304,"必須"))</f>
        <v/>
      </c>
    </row>
    <row r="191" customFormat="false" ht="15" hidden="false" customHeight="false" outlineLevel="0" collapsed="false">
      <c r="A191" s="8"/>
      <c r="B191" s="16"/>
      <c r="C191" s="16"/>
      <c r="D191" s="16"/>
      <c r="E191" s="8"/>
      <c r="F191" s="20" t="str">
        <f aca="false">IF(A191="","",COUNTIFS($A$5:$A$304,A191,$D$5:$D$304,"必須"))</f>
        <v/>
      </c>
    </row>
    <row r="192" customFormat="false" ht="15" hidden="false" customHeight="false" outlineLevel="0" collapsed="false">
      <c r="A192" s="8"/>
      <c r="B192" s="16"/>
      <c r="C192" s="16"/>
      <c r="D192" s="16"/>
      <c r="E192" s="8"/>
      <c r="F192" s="20" t="str">
        <f aca="false">IF(A192="","",COUNTIFS($A$5:$A$304,A192,$D$5:$D$304,"必須"))</f>
        <v/>
      </c>
    </row>
    <row r="193" customFormat="false" ht="15" hidden="false" customHeight="false" outlineLevel="0" collapsed="false">
      <c r="A193" s="8"/>
      <c r="B193" s="16"/>
      <c r="C193" s="16"/>
      <c r="D193" s="16"/>
      <c r="E193" s="8"/>
      <c r="F193" s="20" t="str">
        <f aca="false">IF(A193="","",COUNTIFS($A$5:$A$304,A193,$D$5:$D$304,"必須"))</f>
        <v/>
      </c>
    </row>
    <row r="194" customFormat="false" ht="15" hidden="false" customHeight="false" outlineLevel="0" collapsed="false">
      <c r="A194" s="8"/>
      <c r="B194" s="16"/>
      <c r="C194" s="16"/>
      <c r="D194" s="16"/>
      <c r="E194" s="8"/>
      <c r="F194" s="20" t="str">
        <f aca="false">IF(A194="","",COUNTIFS($A$5:$A$304,A194,$D$5:$D$304,"必須"))</f>
        <v/>
      </c>
    </row>
    <row r="195" customFormat="false" ht="15" hidden="false" customHeight="false" outlineLevel="0" collapsed="false">
      <c r="A195" s="8"/>
      <c r="B195" s="16"/>
      <c r="C195" s="16"/>
      <c r="D195" s="16"/>
      <c r="E195" s="8"/>
      <c r="F195" s="20" t="str">
        <f aca="false">IF(A195="","",COUNTIFS($A$5:$A$304,A195,$D$5:$D$304,"必須"))</f>
        <v/>
      </c>
    </row>
    <row r="196" customFormat="false" ht="15" hidden="false" customHeight="false" outlineLevel="0" collapsed="false">
      <c r="A196" s="8"/>
      <c r="B196" s="16"/>
      <c r="C196" s="16"/>
      <c r="D196" s="16"/>
      <c r="E196" s="8"/>
      <c r="F196" s="20" t="str">
        <f aca="false">IF(A196="","",COUNTIFS($A$5:$A$304,A196,$D$5:$D$304,"必須"))</f>
        <v/>
      </c>
    </row>
    <row r="197" customFormat="false" ht="15" hidden="false" customHeight="false" outlineLevel="0" collapsed="false">
      <c r="A197" s="8"/>
      <c r="B197" s="16"/>
      <c r="C197" s="16"/>
      <c r="D197" s="16"/>
      <c r="E197" s="8"/>
      <c r="F197" s="20" t="str">
        <f aca="false">IF(A197="","",COUNTIFS($A$5:$A$304,A197,$D$5:$D$304,"必須"))</f>
        <v/>
      </c>
    </row>
    <row r="198" customFormat="false" ht="15" hidden="false" customHeight="false" outlineLevel="0" collapsed="false">
      <c r="A198" s="8"/>
      <c r="B198" s="16"/>
      <c r="C198" s="16"/>
      <c r="D198" s="16"/>
      <c r="E198" s="8"/>
      <c r="F198" s="20" t="str">
        <f aca="false">IF(A198="","",COUNTIFS($A$5:$A$304,A198,$D$5:$D$304,"必須"))</f>
        <v/>
      </c>
    </row>
    <row r="199" customFormat="false" ht="15" hidden="false" customHeight="false" outlineLevel="0" collapsed="false">
      <c r="A199" s="8"/>
      <c r="B199" s="16"/>
      <c r="C199" s="16"/>
      <c r="D199" s="16"/>
      <c r="E199" s="8"/>
      <c r="F199" s="20" t="str">
        <f aca="false">IF(A199="","",COUNTIFS($A$5:$A$304,A199,$D$5:$D$304,"必須"))</f>
        <v/>
      </c>
    </row>
    <row r="200" customFormat="false" ht="15" hidden="false" customHeight="false" outlineLevel="0" collapsed="false">
      <c r="A200" s="8"/>
      <c r="B200" s="16"/>
      <c r="C200" s="16"/>
      <c r="D200" s="16"/>
      <c r="E200" s="8"/>
      <c r="F200" s="20" t="str">
        <f aca="false">IF(A200="","",COUNTIFS($A$5:$A$304,A200,$D$5:$D$304,"必須"))</f>
        <v/>
      </c>
    </row>
    <row r="201" customFormat="false" ht="15" hidden="false" customHeight="false" outlineLevel="0" collapsed="false">
      <c r="A201" s="8"/>
      <c r="B201" s="16"/>
      <c r="C201" s="16"/>
      <c r="D201" s="16"/>
      <c r="E201" s="8"/>
      <c r="F201" s="20" t="str">
        <f aca="false">IF(A201="","",COUNTIFS($A$5:$A$304,A201,$D$5:$D$304,"必須"))</f>
        <v/>
      </c>
    </row>
    <row r="202" customFormat="false" ht="15" hidden="false" customHeight="false" outlineLevel="0" collapsed="false">
      <c r="A202" s="8"/>
      <c r="B202" s="16"/>
      <c r="C202" s="16"/>
      <c r="D202" s="16"/>
      <c r="E202" s="8"/>
      <c r="F202" s="20" t="str">
        <f aca="false">IF(A202="","",COUNTIFS($A$5:$A$304,A202,$D$5:$D$304,"必須"))</f>
        <v/>
      </c>
    </row>
    <row r="203" customFormat="false" ht="15" hidden="false" customHeight="false" outlineLevel="0" collapsed="false">
      <c r="A203" s="8"/>
      <c r="B203" s="16"/>
      <c r="C203" s="16"/>
      <c r="D203" s="16"/>
      <c r="E203" s="8"/>
      <c r="F203" s="20" t="str">
        <f aca="false">IF(A203="","",COUNTIFS($A$5:$A$304,A203,$D$5:$D$304,"必須"))</f>
        <v/>
      </c>
    </row>
    <row r="204" customFormat="false" ht="15" hidden="false" customHeight="false" outlineLevel="0" collapsed="false">
      <c r="A204" s="8"/>
      <c r="B204" s="16"/>
      <c r="C204" s="16"/>
      <c r="D204" s="16"/>
      <c r="E204" s="8"/>
      <c r="F204" s="20" t="str">
        <f aca="false">IF(A204="","",COUNTIFS($A$5:$A$304,A204,$D$5:$D$304,"必須"))</f>
        <v/>
      </c>
    </row>
    <row r="205" customFormat="false" ht="15" hidden="false" customHeight="false" outlineLevel="0" collapsed="false">
      <c r="A205" s="8"/>
      <c r="B205" s="16"/>
      <c r="C205" s="16"/>
      <c r="D205" s="16"/>
      <c r="E205" s="8"/>
      <c r="F205" s="20" t="str">
        <f aca="false">IF(A205="","",COUNTIFS($A$5:$A$304,A205,$D$5:$D$304,"必須"))</f>
        <v/>
      </c>
    </row>
    <row r="206" customFormat="false" ht="15" hidden="false" customHeight="false" outlineLevel="0" collapsed="false">
      <c r="A206" s="8"/>
      <c r="B206" s="16"/>
      <c r="C206" s="16"/>
      <c r="D206" s="16"/>
      <c r="E206" s="8"/>
      <c r="F206" s="20" t="str">
        <f aca="false">IF(A206="","",COUNTIFS($A$5:$A$304,A206,$D$5:$D$304,"必須"))</f>
        <v/>
      </c>
    </row>
    <row r="207" customFormat="false" ht="15" hidden="false" customHeight="false" outlineLevel="0" collapsed="false">
      <c r="A207" s="8"/>
      <c r="B207" s="16"/>
      <c r="C207" s="16"/>
      <c r="D207" s="16"/>
      <c r="E207" s="8"/>
      <c r="F207" s="20" t="str">
        <f aca="false">IF(A207="","",COUNTIFS($A$5:$A$304,A207,$D$5:$D$304,"必須"))</f>
        <v/>
      </c>
    </row>
    <row r="208" customFormat="false" ht="15" hidden="false" customHeight="false" outlineLevel="0" collapsed="false">
      <c r="A208" s="8"/>
      <c r="B208" s="16"/>
      <c r="C208" s="16"/>
      <c r="D208" s="16"/>
      <c r="E208" s="8"/>
      <c r="F208" s="20" t="str">
        <f aca="false">IF(A208="","",COUNTIFS($A$5:$A$304,A208,$D$5:$D$304,"必須"))</f>
        <v/>
      </c>
    </row>
    <row r="209" customFormat="false" ht="15" hidden="false" customHeight="false" outlineLevel="0" collapsed="false">
      <c r="A209" s="8"/>
      <c r="B209" s="16"/>
      <c r="C209" s="16"/>
      <c r="D209" s="16"/>
      <c r="E209" s="8"/>
      <c r="F209" s="20" t="str">
        <f aca="false">IF(A209="","",COUNTIFS($A$5:$A$304,A209,$D$5:$D$304,"必須"))</f>
        <v/>
      </c>
    </row>
    <row r="210" customFormat="false" ht="15" hidden="false" customHeight="false" outlineLevel="0" collapsed="false">
      <c r="A210" s="8"/>
      <c r="B210" s="16"/>
      <c r="C210" s="16"/>
      <c r="D210" s="16"/>
      <c r="E210" s="8"/>
      <c r="F210" s="20" t="str">
        <f aca="false">IF(A210="","",COUNTIFS($A$5:$A$304,A210,$D$5:$D$304,"必須"))</f>
        <v/>
      </c>
    </row>
    <row r="211" customFormat="false" ht="15" hidden="false" customHeight="false" outlineLevel="0" collapsed="false">
      <c r="A211" s="8"/>
      <c r="B211" s="16"/>
      <c r="C211" s="16"/>
      <c r="D211" s="16"/>
      <c r="E211" s="8"/>
      <c r="F211" s="20" t="str">
        <f aca="false">IF(A211="","",COUNTIFS($A$5:$A$304,A211,$D$5:$D$304,"必須"))</f>
        <v/>
      </c>
    </row>
    <row r="212" customFormat="false" ht="15" hidden="false" customHeight="false" outlineLevel="0" collapsed="false">
      <c r="A212" s="8"/>
      <c r="B212" s="16"/>
      <c r="C212" s="16"/>
      <c r="D212" s="16"/>
      <c r="E212" s="8"/>
      <c r="F212" s="20" t="str">
        <f aca="false">IF(A212="","",COUNTIFS($A$5:$A$304,A212,$D$5:$D$304,"必須"))</f>
        <v/>
      </c>
    </row>
    <row r="213" customFormat="false" ht="15" hidden="false" customHeight="false" outlineLevel="0" collapsed="false">
      <c r="A213" s="8"/>
      <c r="B213" s="16"/>
      <c r="C213" s="16"/>
      <c r="D213" s="16"/>
      <c r="E213" s="8"/>
      <c r="F213" s="20" t="str">
        <f aca="false">IF(A213="","",COUNTIFS($A$5:$A$304,A213,$D$5:$D$304,"必須"))</f>
        <v/>
      </c>
    </row>
    <row r="214" customFormat="false" ht="15" hidden="false" customHeight="false" outlineLevel="0" collapsed="false">
      <c r="A214" s="8"/>
      <c r="B214" s="16"/>
      <c r="C214" s="16"/>
      <c r="D214" s="16"/>
      <c r="E214" s="8"/>
      <c r="F214" s="20" t="str">
        <f aca="false">IF(A214="","",COUNTIFS($A$5:$A$304,A214,$D$5:$D$304,"必須"))</f>
        <v/>
      </c>
    </row>
    <row r="215" customFormat="false" ht="15" hidden="false" customHeight="false" outlineLevel="0" collapsed="false">
      <c r="A215" s="8"/>
      <c r="B215" s="16"/>
      <c r="C215" s="16"/>
      <c r="D215" s="16"/>
      <c r="E215" s="8"/>
      <c r="F215" s="20" t="str">
        <f aca="false">IF(A215="","",COUNTIFS($A$5:$A$304,A215,$D$5:$D$304,"必須"))</f>
        <v/>
      </c>
    </row>
    <row r="216" customFormat="false" ht="15" hidden="false" customHeight="false" outlineLevel="0" collapsed="false">
      <c r="A216" s="8"/>
      <c r="B216" s="16"/>
      <c r="C216" s="16"/>
      <c r="D216" s="16"/>
      <c r="E216" s="8"/>
      <c r="F216" s="20" t="str">
        <f aca="false">IF(A216="","",COUNTIFS($A$5:$A$304,A216,$D$5:$D$304,"必須"))</f>
        <v/>
      </c>
    </row>
    <row r="217" customFormat="false" ht="15" hidden="false" customHeight="false" outlineLevel="0" collapsed="false">
      <c r="A217" s="8"/>
      <c r="B217" s="16"/>
      <c r="C217" s="16"/>
      <c r="D217" s="16"/>
      <c r="E217" s="8"/>
      <c r="F217" s="20" t="str">
        <f aca="false">IF(A217="","",COUNTIFS($A$5:$A$304,A217,$D$5:$D$304,"必須"))</f>
        <v/>
      </c>
    </row>
    <row r="218" customFormat="false" ht="15" hidden="false" customHeight="false" outlineLevel="0" collapsed="false">
      <c r="A218" s="8"/>
      <c r="B218" s="16"/>
      <c r="C218" s="16"/>
      <c r="D218" s="16"/>
      <c r="E218" s="8"/>
      <c r="F218" s="20" t="str">
        <f aca="false">IF(A218="","",COUNTIFS($A$5:$A$304,A218,$D$5:$D$304,"必須"))</f>
        <v/>
      </c>
    </row>
    <row r="219" customFormat="false" ht="15" hidden="false" customHeight="false" outlineLevel="0" collapsed="false">
      <c r="A219" s="8"/>
      <c r="B219" s="16"/>
      <c r="C219" s="16"/>
      <c r="D219" s="16"/>
      <c r="E219" s="8"/>
      <c r="F219" s="20" t="str">
        <f aca="false">IF(A219="","",COUNTIFS($A$5:$A$304,A219,$D$5:$D$304,"必須"))</f>
        <v/>
      </c>
    </row>
    <row r="220" customFormat="false" ht="15" hidden="false" customHeight="false" outlineLevel="0" collapsed="false">
      <c r="A220" s="8"/>
      <c r="B220" s="16"/>
      <c r="C220" s="16"/>
      <c r="D220" s="16"/>
      <c r="E220" s="8"/>
      <c r="F220" s="20" t="str">
        <f aca="false">IF(A220="","",COUNTIFS($A$5:$A$304,A220,$D$5:$D$304,"必須"))</f>
        <v/>
      </c>
    </row>
    <row r="221" customFormat="false" ht="15" hidden="false" customHeight="false" outlineLevel="0" collapsed="false">
      <c r="A221" s="8"/>
      <c r="B221" s="16"/>
      <c r="C221" s="16"/>
      <c r="D221" s="16"/>
      <c r="E221" s="8"/>
      <c r="F221" s="20" t="str">
        <f aca="false">IF(A221="","",COUNTIFS($A$5:$A$304,A221,$D$5:$D$304,"必須"))</f>
        <v/>
      </c>
    </row>
    <row r="222" customFormat="false" ht="15" hidden="false" customHeight="false" outlineLevel="0" collapsed="false">
      <c r="A222" s="8"/>
      <c r="B222" s="16"/>
      <c r="C222" s="16"/>
      <c r="D222" s="16"/>
      <c r="E222" s="8"/>
      <c r="F222" s="20" t="str">
        <f aca="false">IF(A222="","",COUNTIFS($A$5:$A$304,A222,$D$5:$D$304,"必須"))</f>
        <v/>
      </c>
    </row>
    <row r="223" customFormat="false" ht="15" hidden="false" customHeight="false" outlineLevel="0" collapsed="false">
      <c r="A223" s="8"/>
      <c r="B223" s="16"/>
      <c r="C223" s="16"/>
      <c r="D223" s="16"/>
      <c r="E223" s="8"/>
      <c r="F223" s="20" t="str">
        <f aca="false">IF(A223="","",COUNTIFS($A$5:$A$304,A223,$D$5:$D$304,"必須"))</f>
        <v/>
      </c>
    </row>
    <row r="224" customFormat="false" ht="15" hidden="false" customHeight="false" outlineLevel="0" collapsed="false">
      <c r="A224" s="8"/>
      <c r="B224" s="16"/>
      <c r="C224" s="16"/>
      <c r="D224" s="16"/>
      <c r="E224" s="8"/>
      <c r="F224" s="20" t="str">
        <f aca="false">IF(A224="","",COUNTIFS($A$5:$A$304,A224,$D$5:$D$304,"必須"))</f>
        <v/>
      </c>
    </row>
    <row r="225" customFormat="false" ht="15" hidden="false" customHeight="false" outlineLevel="0" collapsed="false">
      <c r="A225" s="8"/>
      <c r="B225" s="16"/>
      <c r="C225" s="16"/>
      <c r="D225" s="16"/>
      <c r="E225" s="8"/>
      <c r="F225" s="20" t="str">
        <f aca="false">IF(A225="","",COUNTIFS($A$5:$A$304,A225,$D$5:$D$304,"必須"))</f>
        <v/>
      </c>
    </row>
    <row r="226" customFormat="false" ht="15" hidden="false" customHeight="false" outlineLevel="0" collapsed="false">
      <c r="A226" s="8"/>
      <c r="B226" s="16"/>
      <c r="C226" s="16"/>
      <c r="D226" s="16"/>
      <c r="E226" s="8"/>
      <c r="F226" s="20" t="str">
        <f aca="false">IF(A226="","",COUNTIFS($A$5:$A$304,A226,$D$5:$D$304,"必須"))</f>
        <v/>
      </c>
    </row>
    <row r="227" customFormat="false" ht="15" hidden="false" customHeight="false" outlineLevel="0" collapsed="false">
      <c r="A227" s="8"/>
      <c r="B227" s="16"/>
      <c r="C227" s="16"/>
      <c r="D227" s="16"/>
      <c r="E227" s="8"/>
      <c r="F227" s="20" t="str">
        <f aca="false">IF(A227="","",COUNTIFS($A$5:$A$304,A227,$D$5:$D$304,"必須"))</f>
        <v/>
      </c>
    </row>
    <row r="228" customFormat="false" ht="15" hidden="false" customHeight="false" outlineLevel="0" collapsed="false">
      <c r="A228" s="8"/>
      <c r="B228" s="16"/>
      <c r="C228" s="16"/>
      <c r="D228" s="16"/>
      <c r="E228" s="8"/>
      <c r="F228" s="20" t="str">
        <f aca="false">IF(A228="","",COUNTIFS($A$5:$A$304,A228,$D$5:$D$304,"必須"))</f>
        <v/>
      </c>
    </row>
    <row r="229" customFormat="false" ht="15" hidden="false" customHeight="false" outlineLevel="0" collapsed="false">
      <c r="A229" s="8"/>
      <c r="B229" s="16"/>
      <c r="C229" s="16"/>
      <c r="D229" s="16"/>
      <c r="E229" s="8"/>
      <c r="F229" s="20" t="str">
        <f aca="false">IF(A229="","",COUNTIFS($A$5:$A$304,A229,$D$5:$D$304,"必須"))</f>
        <v/>
      </c>
    </row>
    <row r="230" customFormat="false" ht="15" hidden="false" customHeight="false" outlineLevel="0" collapsed="false">
      <c r="A230" s="8"/>
      <c r="B230" s="16"/>
      <c r="C230" s="16"/>
      <c r="D230" s="16"/>
      <c r="E230" s="8"/>
      <c r="F230" s="20" t="str">
        <f aca="false">IF(A230="","",COUNTIFS($A$5:$A$304,A230,$D$5:$D$304,"必須"))</f>
        <v/>
      </c>
    </row>
    <row r="231" customFormat="false" ht="15" hidden="false" customHeight="false" outlineLevel="0" collapsed="false">
      <c r="A231" s="8"/>
      <c r="B231" s="16"/>
      <c r="C231" s="16"/>
      <c r="D231" s="16"/>
      <c r="E231" s="8"/>
      <c r="F231" s="20" t="str">
        <f aca="false">IF(A231="","",COUNTIFS($A$5:$A$304,A231,$D$5:$D$304,"必須"))</f>
        <v/>
      </c>
    </row>
    <row r="232" customFormat="false" ht="15" hidden="false" customHeight="false" outlineLevel="0" collapsed="false">
      <c r="A232" s="8"/>
      <c r="B232" s="16"/>
      <c r="C232" s="16"/>
      <c r="D232" s="16"/>
      <c r="E232" s="8"/>
      <c r="F232" s="20" t="str">
        <f aca="false">IF(A232="","",COUNTIFS($A$5:$A$304,A232,$D$5:$D$304,"必須"))</f>
        <v/>
      </c>
    </row>
    <row r="233" customFormat="false" ht="15" hidden="false" customHeight="false" outlineLevel="0" collapsed="false">
      <c r="A233" s="8"/>
      <c r="B233" s="16"/>
      <c r="C233" s="16"/>
      <c r="D233" s="16"/>
      <c r="E233" s="8"/>
      <c r="F233" s="20" t="str">
        <f aca="false">IF(A233="","",COUNTIFS($A$5:$A$304,A233,$D$5:$D$304,"必須"))</f>
        <v/>
      </c>
    </row>
    <row r="234" customFormat="false" ht="15" hidden="false" customHeight="false" outlineLevel="0" collapsed="false">
      <c r="A234" s="8"/>
      <c r="B234" s="16"/>
      <c r="C234" s="16"/>
      <c r="D234" s="16"/>
      <c r="E234" s="8"/>
      <c r="F234" s="20" t="str">
        <f aca="false">IF(A234="","",COUNTIFS($A$5:$A$304,A234,$D$5:$D$304,"必須"))</f>
        <v/>
      </c>
    </row>
    <row r="235" customFormat="false" ht="15" hidden="false" customHeight="false" outlineLevel="0" collapsed="false">
      <c r="A235" s="8"/>
      <c r="B235" s="16"/>
      <c r="C235" s="16"/>
      <c r="D235" s="16"/>
      <c r="E235" s="8"/>
      <c r="F235" s="20" t="str">
        <f aca="false">IF(A235="","",COUNTIFS($A$5:$A$304,A235,$D$5:$D$304,"必須"))</f>
        <v/>
      </c>
    </row>
    <row r="236" customFormat="false" ht="15" hidden="false" customHeight="false" outlineLevel="0" collapsed="false">
      <c r="A236" s="8"/>
      <c r="B236" s="16"/>
      <c r="C236" s="16"/>
      <c r="D236" s="16"/>
      <c r="E236" s="8"/>
      <c r="F236" s="20" t="str">
        <f aca="false">IF(A236="","",COUNTIFS($A$5:$A$304,A236,$D$5:$D$304,"必須"))</f>
        <v/>
      </c>
    </row>
    <row r="237" customFormat="false" ht="15" hidden="false" customHeight="false" outlineLevel="0" collapsed="false">
      <c r="A237" s="8"/>
      <c r="B237" s="16"/>
      <c r="C237" s="16"/>
      <c r="D237" s="16"/>
      <c r="E237" s="8"/>
      <c r="F237" s="20" t="str">
        <f aca="false">IF(A237="","",COUNTIFS($A$5:$A$304,A237,$D$5:$D$304,"必須"))</f>
        <v/>
      </c>
    </row>
    <row r="238" customFormat="false" ht="15" hidden="false" customHeight="false" outlineLevel="0" collapsed="false">
      <c r="A238" s="8"/>
      <c r="B238" s="16"/>
      <c r="C238" s="16"/>
      <c r="D238" s="16"/>
      <c r="E238" s="8"/>
      <c r="F238" s="20" t="str">
        <f aca="false">IF(A238="","",COUNTIFS($A$5:$A$304,A238,$D$5:$D$304,"必須"))</f>
        <v/>
      </c>
    </row>
    <row r="239" customFormat="false" ht="15" hidden="false" customHeight="false" outlineLevel="0" collapsed="false">
      <c r="A239" s="8"/>
      <c r="B239" s="16"/>
      <c r="C239" s="16"/>
      <c r="D239" s="16"/>
      <c r="E239" s="8"/>
      <c r="F239" s="20" t="str">
        <f aca="false">IF(A239="","",COUNTIFS($A$5:$A$304,A239,$D$5:$D$304,"必須"))</f>
        <v/>
      </c>
    </row>
    <row r="240" customFormat="false" ht="15" hidden="false" customHeight="false" outlineLevel="0" collapsed="false">
      <c r="A240" s="8"/>
      <c r="B240" s="16"/>
      <c r="C240" s="16"/>
      <c r="D240" s="16"/>
      <c r="E240" s="8"/>
      <c r="F240" s="20" t="str">
        <f aca="false">IF(A240="","",COUNTIFS($A$5:$A$304,A240,$D$5:$D$304,"必須"))</f>
        <v/>
      </c>
    </row>
    <row r="241" customFormat="false" ht="15" hidden="false" customHeight="false" outlineLevel="0" collapsed="false">
      <c r="A241" s="8"/>
      <c r="B241" s="16"/>
      <c r="C241" s="16"/>
      <c r="D241" s="16"/>
      <c r="E241" s="8"/>
      <c r="F241" s="20" t="str">
        <f aca="false">IF(A241="","",COUNTIFS($A$5:$A$304,A241,$D$5:$D$304,"必須"))</f>
        <v/>
      </c>
    </row>
    <row r="242" customFormat="false" ht="15" hidden="false" customHeight="false" outlineLevel="0" collapsed="false">
      <c r="A242" s="8"/>
      <c r="B242" s="16"/>
      <c r="C242" s="16"/>
      <c r="D242" s="16"/>
      <c r="E242" s="8"/>
      <c r="F242" s="20" t="str">
        <f aca="false">IF(A242="","",COUNTIFS($A$5:$A$304,A242,$D$5:$D$304,"必須"))</f>
        <v/>
      </c>
    </row>
    <row r="243" customFormat="false" ht="15" hidden="false" customHeight="false" outlineLevel="0" collapsed="false">
      <c r="A243" s="8"/>
      <c r="B243" s="16"/>
      <c r="C243" s="16"/>
      <c r="D243" s="16"/>
      <c r="E243" s="8"/>
      <c r="F243" s="20" t="str">
        <f aca="false">IF(A243="","",COUNTIFS($A$5:$A$304,A243,$D$5:$D$304,"必須"))</f>
        <v/>
      </c>
    </row>
    <row r="244" customFormat="false" ht="15" hidden="false" customHeight="false" outlineLevel="0" collapsed="false">
      <c r="A244" s="8"/>
      <c r="B244" s="16"/>
      <c r="C244" s="16"/>
      <c r="D244" s="16"/>
      <c r="E244" s="8"/>
      <c r="F244" s="20" t="str">
        <f aca="false">IF(A244="","",COUNTIFS($A$5:$A$304,A244,$D$5:$D$304,"必須"))</f>
        <v/>
      </c>
    </row>
    <row r="245" customFormat="false" ht="15" hidden="false" customHeight="false" outlineLevel="0" collapsed="false">
      <c r="A245" s="8"/>
      <c r="B245" s="16"/>
      <c r="C245" s="16"/>
      <c r="D245" s="16"/>
      <c r="E245" s="8"/>
      <c r="F245" s="20" t="str">
        <f aca="false">IF(A245="","",COUNTIFS($A$5:$A$304,A245,$D$5:$D$304,"必須"))</f>
        <v/>
      </c>
    </row>
    <row r="246" customFormat="false" ht="15" hidden="false" customHeight="false" outlineLevel="0" collapsed="false">
      <c r="A246" s="8"/>
      <c r="B246" s="16"/>
      <c r="C246" s="16"/>
      <c r="D246" s="16"/>
      <c r="E246" s="8"/>
      <c r="F246" s="20" t="str">
        <f aca="false">IF(A246="","",COUNTIFS($A$5:$A$304,A246,$D$5:$D$304,"必須"))</f>
        <v/>
      </c>
    </row>
    <row r="247" customFormat="false" ht="15" hidden="false" customHeight="false" outlineLevel="0" collapsed="false">
      <c r="A247" s="8"/>
      <c r="B247" s="16"/>
      <c r="C247" s="16"/>
      <c r="D247" s="16"/>
      <c r="E247" s="8"/>
      <c r="F247" s="20" t="str">
        <f aca="false">IF(A247="","",COUNTIFS($A$5:$A$304,A247,$D$5:$D$304,"必須"))</f>
        <v/>
      </c>
    </row>
    <row r="248" customFormat="false" ht="15" hidden="false" customHeight="false" outlineLevel="0" collapsed="false">
      <c r="A248" s="8"/>
      <c r="B248" s="16"/>
      <c r="C248" s="16"/>
      <c r="D248" s="16"/>
      <c r="E248" s="8"/>
      <c r="F248" s="20" t="str">
        <f aca="false">IF(A248="","",COUNTIFS($A$5:$A$304,A248,$D$5:$D$304,"必須"))</f>
        <v/>
      </c>
    </row>
    <row r="249" customFormat="false" ht="15" hidden="false" customHeight="false" outlineLevel="0" collapsed="false">
      <c r="A249" s="8"/>
      <c r="B249" s="16"/>
      <c r="C249" s="16"/>
      <c r="D249" s="16"/>
      <c r="E249" s="8"/>
      <c r="F249" s="20" t="str">
        <f aca="false">IF(A249="","",COUNTIFS($A$5:$A$304,A249,$D$5:$D$304,"必須"))</f>
        <v/>
      </c>
    </row>
    <row r="250" customFormat="false" ht="15" hidden="false" customHeight="false" outlineLevel="0" collapsed="false">
      <c r="A250" s="8"/>
      <c r="B250" s="16"/>
      <c r="C250" s="16"/>
      <c r="D250" s="16"/>
      <c r="E250" s="8"/>
      <c r="F250" s="20" t="str">
        <f aca="false">IF(A250="","",COUNTIFS($A$5:$A$304,A250,$D$5:$D$304,"必須"))</f>
        <v/>
      </c>
    </row>
    <row r="251" customFormat="false" ht="15" hidden="false" customHeight="false" outlineLevel="0" collapsed="false">
      <c r="A251" s="8"/>
      <c r="B251" s="16"/>
      <c r="C251" s="16"/>
      <c r="D251" s="16"/>
      <c r="E251" s="8"/>
      <c r="F251" s="20" t="str">
        <f aca="false">IF(A251="","",COUNTIFS($A$5:$A$304,A251,$D$5:$D$304,"必須"))</f>
        <v/>
      </c>
    </row>
    <row r="252" customFormat="false" ht="15" hidden="false" customHeight="false" outlineLevel="0" collapsed="false">
      <c r="A252" s="8"/>
      <c r="B252" s="16"/>
      <c r="C252" s="16"/>
      <c r="D252" s="16"/>
      <c r="E252" s="8"/>
      <c r="F252" s="20" t="str">
        <f aca="false">IF(A252="","",COUNTIFS($A$5:$A$304,A252,$D$5:$D$304,"必須"))</f>
        <v/>
      </c>
    </row>
    <row r="253" customFormat="false" ht="15" hidden="false" customHeight="false" outlineLevel="0" collapsed="false">
      <c r="A253" s="8"/>
      <c r="B253" s="16"/>
      <c r="C253" s="16"/>
      <c r="D253" s="16"/>
      <c r="E253" s="8"/>
      <c r="F253" s="20" t="str">
        <f aca="false">IF(A253="","",COUNTIFS($A$5:$A$304,A253,$D$5:$D$304,"必須"))</f>
        <v/>
      </c>
    </row>
    <row r="254" customFormat="false" ht="15" hidden="false" customHeight="false" outlineLevel="0" collapsed="false">
      <c r="A254" s="8"/>
      <c r="B254" s="16"/>
      <c r="C254" s="16"/>
      <c r="D254" s="16"/>
      <c r="E254" s="8"/>
      <c r="F254" s="20" t="str">
        <f aca="false">IF(A254="","",COUNTIFS($A$5:$A$304,A254,$D$5:$D$304,"必須"))</f>
        <v/>
      </c>
    </row>
    <row r="255" customFormat="false" ht="15" hidden="false" customHeight="false" outlineLevel="0" collapsed="false">
      <c r="A255" s="8"/>
      <c r="B255" s="16"/>
      <c r="C255" s="16"/>
      <c r="D255" s="16"/>
      <c r="E255" s="8"/>
      <c r="F255" s="20" t="str">
        <f aca="false">IF(A255="","",COUNTIFS($A$5:$A$304,A255,$D$5:$D$304,"必須"))</f>
        <v/>
      </c>
    </row>
    <row r="256" customFormat="false" ht="15" hidden="false" customHeight="false" outlineLevel="0" collapsed="false">
      <c r="A256" s="8"/>
      <c r="B256" s="16"/>
      <c r="C256" s="16"/>
      <c r="D256" s="16"/>
      <c r="E256" s="8"/>
      <c r="F256" s="20" t="str">
        <f aca="false">IF(A256="","",COUNTIFS($A$5:$A$304,A256,$D$5:$D$304,"必須"))</f>
        <v/>
      </c>
    </row>
    <row r="257" customFormat="false" ht="15" hidden="false" customHeight="false" outlineLevel="0" collapsed="false">
      <c r="A257" s="8"/>
      <c r="B257" s="16"/>
      <c r="C257" s="16"/>
      <c r="D257" s="16"/>
      <c r="E257" s="8"/>
      <c r="F257" s="20" t="str">
        <f aca="false">IF(A257="","",COUNTIFS($A$5:$A$304,A257,$D$5:$D$304,"必須"))</f>
        <v/>
      </c>
    </row>
    <row r="258" customFormat="false" ht="15" hidden="false" customHeight="false" outlineLevel="0" collapsed="false">
      <c r="A258" s="8"/>
      <c r="B258" s="16"/>
      <c r="C258" s="16"/>
      <c r="D258" s="16"/>
      <c r="E258" s="8"/>
      <c r="F258" s="20" t="str">
        <f aca="false">IF(A258="","",COUNTIFS($A$5:$A$304,A258,$D$5:$D$304,"必須"))</f>
        <v/>
      </c>
    </row>
    <row r="259" customFormat="false" ht="15" hidden="false" customHeight="false" outlineLevel="0" collapsed="false">
      <c r="A259" s="8"/>
      <c r="B259" s="16"/>
      <c r="C259" s="16"/>
      <c r="D259" s="16"/>
      <c r="E259" s="8"/>
      <c r="F259" s="20" t="str">
        <f aca="false">IF(A259="","",COUNTIFS($A$5:$A$304,A259,$D$5:$D$304,"必須"))</f>
        <v/>
      </c>
    </row>
    <row r="260" customFormat="false" ht="15" hidden="false" customHeight="false" outlineLevel="0" collapsed="false">
      <c r="A260" s="8"/>
      <c r="B260" s="16"/>
      <c r="C260" s="16"/>
      <c r="D260" s="16"/>
      <c r="E260" s="8"/>
      <c r="F260" s="20" t="str">
        <f aca="false">IF(A260="","",COUNTIFS($A$5:$A$304,A260,$D$5:$D$304,"必須"))</f>
        <v/>
      </c>
    </row>
    <row r="261" customFormat="false" ht="15" hidden="false" customHeight="false" outlineLevel="0" collapsed="false">
      <c r="A261" s="8"/>
      <c r="B261" s="16"/>
      <c r="C261" s="16"/>
      <c r="D261" s="16"/>
      <c r="E261" s="8"/>
      <c r="F261" s="20" t="str">
        <f aca="false">IF(A261="","",COUNTIFS($A$5:$A$304,A261,$D$5:$D$304,"必須"))</f>
        <v/>
      </c>
    </row>
    <row r="262" customFormat="false" ht="15" hidden="false" customHeight="false" outlineLevel="0" collapsed="false">
      <c r="A262" s="8"/>
      <c r="B262" s="16"/>
      <c r="C262" s="16"/>
      <c r="D262" s="16"/>
      <c r="E262" s="8"/>
      <c r="F262" s="20" t="str">
        <f aca="false">IF(A262="","",COUNTIFS($A$5:$A$304,A262,$D$5:$D$304,"必須"))</f>
        <v/>
      </c>
    </row>
    <row r="263" customFormat="false" ht="15" hidden="false" customHeight="false" outlineLevel="0" collapsed="false">
      <c r="A263" s="8"/>
      <c r="B263" s="16"/>
      <c r="C263" s="16"/>
      <c r="D263" s="16"/>
      <c r="E263" s="8"/>
      <c r="F263" s="20" t="str">
        <f aca="false">IF(A263="","",COUNTIFS($A$5:$A$304,A263,$D$5:$D$304,"必須"))</f>
        <v/>
      </c>
    </row>
    <row r="264" customFormat="false" ht="15" hidden="false" customHeight="false" outlineLevel="0" collapsed="false">
      <c r="A264" s="8"/>
      <c r="B264" s="16"/>
      <c r="C264" s="16"/>
      <c r="D264" s="16"/>
      <c r="E264" s="8"/>
      <c r="F264" s="20" t="str">
        <f aca="false">IF(A264="","",COUNTIFS($A$5:$A$304,A264,$D$5:$D$304,"必須"))</f>
        <v/>
      </c>
    </row>
    <row r="265" customFormat="false" ht="15" hidden="false" customHeight="false" outlineLevel="0" collapsed="false">
      <c r="A265" s="8"/>
      <c r="B265" s="16"/>
      <c r="C265" s="16"/>
      <c r="D265" s="16"/>
      <c r="E265" s="8"/>
      <c r="F265" s="20" t="str">
        <f aca="false">IF(A265="","",COUNTIFS($A$5:$A$304,A265,$D$5:$D$304,"必須"))</f>
        <v/>
      </c>
    </row>
    <row r="266" customFormat="false" ht="15" hidden="false" customHeight="false" outlineLevel="0" collapsed="false">
      <c r="A266" s="8"/>
      <c r="B266" s="16"/>
      <c r="C266" s="16"/>
      <c r="D266" s="16"/>
      <c r="E266" s="8"/>
      <c r="F266" s="20" t="str">
        <f aca="false">IF(A266="","",COUNTIFS($A$5:$A$304,A266,$D$5:$D$304,"必須"))</f>
        <v/>
      </c>
    </row>
    <row r="267" customFormat="false" ht="15" hidden="false" customHeight="false" outlineLevel="0" collapsed="false">
      <c r="A267" s="8"/>
      <c r="B267" s="16"/>
      <c r="C267" s="16"/>
      <c r="D267" s="16"/>
      <c r="E267" s="8"/>
      <c r="F267" s="20" t="str">
        <f aca="false">IF(A267="","",COUNTIFS($A$5:$A$304,A267,$D$5:$D$304,"必須"))</f>
        <v/>
      </c>
    </row>
    <row r="268" customFormat="false" ht="15" hidden="false" customHeight="false" outlineLevel="0" collapsed="false">
      <c r="A268" s="8"/>
      <c r="B268" s="16"/>
      <c r="C268" s="16"/>
      <c r="D268" s="16"/>
      <c r="E268" s="8"/>
      <c r="F268" s="20" t="str">
        <f aca="false">IF(A268="","",COUNTIFS($A$5:$A$304,A268,$D$5:$D$304,"必須"))</f>
        <v/>
      </c>
    </row>
    <row r="269" customFormat="false" ht="15" hidden="false" customHeight="false" outlineLevel="0" collapsed="false">
      <c r="A269" s="8"/>
      <c r="B269" s="16"/>
      <c r="C269" s="16"/>
      <c r="D269" s="16"/>
      <c r="E269" s="8"/>
      <c r="F269" s="20" t="str">
        <f aca="false">IF(A269="","",COUNTIFS($A$5:$A$304,A269,$D$5:$D$304,"必須"))</f>
        <v/>
      </c>
    </row>
    <row r="270" customFormat="false" ht="15" hidden="false" customHeight="false" outlineLevel="0" collapsed="false">
      <c r="A270" s="8"/>
      <c r="B270" s="16"/>
      <c r="C270" s="16"/>
      <c r="D270" s="16"/>
      <c r="E270" s="8"/>
      <c r="F270" s="20" t="str">
        <f aca="false">IF(A270="","",COUNTIFS($A$5:$A$304,A270,$D$5:$D$304,"必須"))</f>
        <v/>
      </c>
    </row>
    <row r="271" customFormat="false" ht="15" hidden="false" customHeight="false" outlineLevel="0" collapsed="false">
      <c r="A271" s="8"/>
      <c r="B271" s="16"/>
      <c r="C271" s="16"/>
      <c r="D271" s="16"/>
      <c r="E271" s="8"/>
      <c r="F271" s="20" t="str">
        <f aca="false">IF(A271="","",COUNTIFS($A$5:$A$304,A271,$D$5:$D$304,"必須"))</f>
        <v/>
      </c>
    </row>
    <row r="272" customFormat="false" ht="15" hidden="false" customHeight="false" outlineLevel="0" collapsed="false">
      <c r="A272" s="8"/>
      <c r="B272" s="16"/>
      <c r="C272" s="16"/>
      <c r="D272" s="16"/>
      <c r="E272" s="8"/>
      <c r="F272" s="20" t="str">
        <f aca="false">IF(A272="","",COUNTIFS($A$5:$A$304,A272,$D$5:$D$304,"必須"))</f>
        <v/>
      </c>
    </row>
    <row r="273" customFormat="false" ht="15" hidden="false" customHeight="false" outlineLevel="0" collapsed="false">
      <c r="A273" s="8"/>
      <c r="B273" s="16"/>
      <c r="C273" s="16"/>
      <c r="D273" s="16"/>
      <c r="E273" s="8"/>
      <c r="F273" s="20" t="str">
        <f aca="false">IF(A273="","",COUNTIFS($A$5:$A$304,A273,$D$5:$D$304,"必須"))</f>
        <v/>
      </c>
    </row>
    <row r="274" customFormat="false" ht="15" hidden="false" customHeight="false" outlineLevel="0" collapsed="false">
      <c r="A274" s="8"/>
      <c r="B274" s="16"/>
      <c r="C274" s="16"/>
      <c r="D274" s="16"/>
      <c r="E274" s="8"/>
      <c r="F274" s="20" t="str">
        <f aca="false">IF(A274="","",COUNTIFS($A$5:$A$304,A274,$D$5:$D$304,"必須"))</f>
        <v/>
      </c>
    </row>
    <row r="275" customFormat="false" ht="15" hidden="false" customHeight="false" outlineLevel="0" collapsed="false">
      <c r="A275" s="8"/>
      <c r="B275" s="16"/>
      <c r="C275" s="16"/>
      <c r="D275" s="16"/>
      <c r="E275" s="8"/>
      <c r="F275" s="20" t="str">
        <f aca="false">IF(A275="","",COUNTIFS($A$5:$A$304,A275,$D$5:$D$304,"必須"))</f>
        <v/>
      </c>
    </row>
    <row r="276" customFormat="false" ht="15" hidden="false" customHeight="false" outlineLevel="0" collapsed="false">
      <c r="A276" s="8"/>
      <c r="B276" s="16"/>
      <c r="C276" s="16"/>
      <c r="D276" s="16"/>
      <c r="E276" s="8"/>
      <c r="F276" s="20" t="str">
        <f aca="false">IF(A276="","",COUNTIFS($A$5:$A$304,A276,$D$5:$D$304,"必須"))</f>
        <v/>
      </c>
    </row>
    <row r="277" customFormat="false" ht="15" hidden="false" customHeight="false" outlineLevel="0" collapsed="false">
      <c r="A277" s="8"/>
      <c r="B277" s="16"/>
      <c r="C277" s="16"/>
      <c r="D277" s="16"/>
      <c r="E277" s="8"/>
      <c r="F277" s="20" t="str">
        <f aca="false">IF(A277="","",COUNTIFS($A$5:$A$304,A277,$D$5:$D$304,"必須"))</f>
        <v/>
      </c>
    </row>
    <row r="278" customFormat="false" ht="15" hidden="false" customHeight="false" outlineLevel="0" collapsed="false">
      <c r="A278" s="8"/>
      <c r="B278" s="16"/>
      <c r="C278" s="16"/>
      <c r="D278" s="16"/>
      <c r="E278" s="8"/>
      <c r="F278" s="20" t="str">
        <f aca="false">IF(A278="","",COUNTIFS($A$5:$A$304,A278,$D$5:$D$304,"必須"))</f>
        <v/>
      </c>
    </row>
    <row r="279" customFormat="false" ht="15" hidden="false" customHeight="false" outlineLevel="0" collapsed="false">
      <c r="A279" s="8"/>
      <c r="B279" s="16"/>
      <c r="C279" s="16"/>
      <c r="D279" s="16"/>
      <c r="E279" s="8"/>
      <c r="F279" s="20" t="str">
        <f aca="false">IF(A279="","",COUNTIFS($A$5:$A$304,A279,$D$5:$D$304,"必須"))</f>
        <v/>
      </c>
    </row>
    <row r="280" customFormat="false" ht="15" hidden="false" customHeight="false" outlineLevel="0" collapsed="false">
      <c r="A280" s="8"/>
      <c r="B280" s="16"/>
      <c r="C280" s="16"/>
      <c r="D280" s="16"/>
      <c r="E280" s="8"/>
      <c r="F280" s="20" t="str">
        <f aca="false">IF(A280="","",COUNTIFS($A$5:$A$304,A280,$D$5:$D$304,"必須"))</f>
        <v/>
      </c>
    </row>
    <row r="281" customFormat="false" ht="15" hidden="false" customHeight="false" outlineLevel="0" collapsed="false">
      <c r="A281" s="8"/>
      <c r="B281" s="16"/>
      <c r="C281" s="16"/>
      <c r="D281" s="16"/>
      <c r="E281" s="8"/>
      <c r="F281" s="20" t="str">
        <f aca="false">IF(A281="","",COUNTIFS($A$5:$A$304,A281,$D$5:$D$304,"必須"))</f>
        <v/>
      </c>
    </row>
    <row r="282" customFormat="false" ht="15" hidden="false" customHeight="false" outlineLevel="0" collapsed="false">
      <c r="A282" s="8"/>
      <c r="B282" s="16"/>
      <c r="C282" s="16"/>
      <c r="D282" s="16"/>
      <c r="E282" s="8"/>
      <c r="F282" s="20" t="str">
        <f aca="false">IF(A282="","",COUNTIFS($A$5:$A$304,A282,$D$5:$D$304,"必須"))</f>
        <v/>
      </c>
    </row>
    <row r="283" customFormat="false" ht="15" hidden="false" customHeight="false" outlineLevel="0" collapsed="false">
      <c r="A283" s="8"/>
      <c r="B283" s="16"/>
      <c r="C283" s="16"/>
      <c r="D283" s="16"/>
      <c r="E283" s="8"/>
      <c r="F283" s="20" t="str">
        <f aca="false">IF(A283="","",COUNTIFS($A$5:$A$304,A283,$D$5:$D$304,"必須"))</f>
        <v/>
      </c>
    </row>
    <row r="284" customFormat="false" ht="15" hidden="false" customHeight="false" outlineLevel="0" collapsed="false">
      <c r="A284" s="8"/>
      <c r="B284" s="16"/>
      <c r="C284" s="16"/>
      <c r="D284" s="16"/>
      <c r="E284" s="8"/>
      <c r="F284" s="20" t="str">
        <f aca="false">IF(A284="","",COUNTIFS($A$5:$A$304,A284,$D$5:$D$304,"必須"))</f>
        <v/>
      </c>
    </row>
    <row r="285" customFormat="false" ht="15" hidden="false" customHeight="false" outlineLevel="0" collapsed="false">
      <c r="A285" s="8"/>
      <c r="B285" s="16"/>
      <c r="C285" s="16"/>
      <c r="D285" s="16"/>
      <c r="E285" s="8"/>
      <c r="F285" s="20" t="str">
        <f aca="false">IF(A285="","",COUNTIFS($A$5:$A$304,A285,$D$5:$D$304,"必須"))</f>
        <v/>
      </c>
    </row>
    <row r="286" customFormat="false" ht="15" hidden="false" customHeight="false" outlineLevel="0" collapsed="false">
      <c r="A286" s="8"/>
      <c r="B286" s="16"/>
      <c r="C286" s="16"/>
      <c r="D286" s="16"/>
      <c r="E286" s="8"/>
      <c r="F286" s="20" t="str">
        <f aca="false">IF(A286="","",COUNTIFS($A$5:$A$304,A286,$D$5:$D$304,"必須"))</f>
        <v/>
      </c>
    </row>
    <row r="287" customFormat="false" ht="15" hidden="false" customHeight="false" outlineLevel="0" collapsed="false">
      <c r="A287" s="8"/>
      <c r="B287" s="16"/>
      <c r="C287" s="16"/>
      <c r="D287" s="16"/>
      <c r="E287" s="8"/>
      <c r="F287" s="20" t="str">
        <f aca="false">IF(A287="","",COUNTIFS($A$5:$A$304,A287,$D$5:$D$304,"必須"))</f>
        <v/>
      </c>
    </row>
    <row r="288" customFormat="false" ht="15" hidden="false" customHeight="false" outlineLevel="0" collapsed="false">
      <c r="A288" s="8"/>
      <c r="B288" s="16"/>
      <c r="C288" s="16"/>
      <c r="D288" s="16"/>
      <c r="E288" s="8"/>
      <c r="F288" s="20" t="str">
        <f aca="false">IF(A288="","",COUNTIFS($A$5:$A$304,A288,$D$5:$D$304,"必須"))</f>
        <v/>
      </c>
    </row>
    <row r="289" customFormat="false" ht="15" hidden="false" customHeight="false" outlineLevel="0" collapsed="false">
      <c r="A289" s="8"/>
      <c r="B289" s="16"/>
      <c r="C289" s="16"/>
      <c r="D289" s="16"/>
      <c r="E289" s="8"/>
      <c r="F289" s="20" t="str">
        <f aca="false">IF(A289="","",COUNTIFS($A$5:$A$304,A289,$D$5:$D$304,"必須"))</f>
        <v/>
      </c>
    </row>
    <row r="290" customFormat="false" ht="15" hidden="false" customHeight="false" outlineLevel="0" collapsed="false">
      <c r="A290" s="8"/>
      <c r="B290" s="16"/>
      <c r="C290" s="16"/>
      <c r="D290" s="16"/>
      <c r="E290" s="8"/>
      <c r="F290" s="20" t="str">
        <f aca="false">IF(A290="","",COUNTIFS($A$5:$A$304,A290,$D$5:$D$304,"必須"))</f>
        <v/>
      </c>
    </row>
    <row r="291" customFormat="false" ht="15" hidden="false" customHeight="false" outlineLevel="0" collapsed="false">
      <c r="A291" s="8"/>
      <c r="B291" s="16"/>
      <c r="C291" s="16"/>
      <c r="D291" s="16"/>
      <c r="E291" s="8"/>
      <c r="F291" s="20" t="str">
        <f aca="false">IF(A291="","",COUNTIFS($A$5:$A$304,A291,$D$5:$D$304,"必須"))</f>
        <v/>
      </c>
    </row>
    <row r="292" customFormat="false" ht="15" hidden="false" customHeight="false" outlineLevel="0" collapsed="false">
      <c r="A292" s="8"/>
      <c r="B292" s="16"/>
      <c r="C292" s="16"/>
      <c r="D292" s="16"/>
      <c r="E292" s="8"/>
      <c r="F292" s="20" t="str">
        <f aca="false">IF(A292="","",COUNTIFS($A$5:$A$304,A292,$D$5:$D$304,"必須"))</f>
        <v/>
      </c>
    </row>
    <row r="293" customFormat="false" ht="15" hidden="false" customHeight="false" outlineLevel="0" collapsed="false">
      <c r="A293" s="8"/>
      <c r="B293" s="16"/>
      <c r="C293" s="16"/>
      <c r="D293" s="16"/>
      <c r="E293" s="8"/>
      <c r="F293" s="20" t="str">
        <f aca="false">IF(A293="","",COUNTIFS($A$5:$A$304,A293,$D$5:$D$304,"必須"))</f>
        <v/>
      </c>
    </row>
    <row r="294" customFormat="false" ht="15" hidden="false" customHeight="false" outlineLevel="0" collapsed="false">
      <c r="A294" s="8"/>
      <c r="B294" s="16"/>
      <c r="C294" s="16"/>
      <c r="D294" s="16"/>
      <c r="E294" s="8"/>
      <c r="F294" s="20" t="str">
        <f aca="false">IF(A294="","",COUNTIFS($A$5:$A$304,A294,$D$5:$D$304,"必須"))</f>
        <v/>
      </c>
    </row>
    <row r="295" customFormat="false" ht="15" hidden="false" customHeight="false" outlineLevel="0" collapsed="false">
      <c r="A295" s="8"/>
      <c r="B295" s="16"/>
      <c r="C295" s="16"/>
      <c r="D295" s="16"/>
      <c r="E295" s="8"/>
      <c r="F295" s="20" t="str">
        <f aca="false">IF(A295="","",COUNTIFS($A$5:$A$304,A295,$D$5:$D$304,"必須"))</f>
        <v/>
      </c>
    </row>
    <row r="296" customFormat="false" ht="15" hidden="false" customHeight="false" outlineLevel="0" collapsed="false">
      <c r="A296" s="8"/>
      <c r="B296" s="16"/>
      <c r="C296" s="16"/>
      <c r="D296" s="16"/>
      <c r="E296" s="8"/>
      <c r="F296" s="20" t="str">
        <f aca="false">IF(A296="","",COUNTIFS($A$5:$A$304,A296,$D$5:$D$304,"必須"))</f>
        <v/>
      </c>
    </row>
    <row r="297" customFormat="false" ht="15" hidden="false" customHeight="false" outlineLevel="0" collapsed="false">
      <c r="A297" s="8"/>
      <c r="B297" s="16"/>
      <c r="C297" s="16"/>
      <c r="D297" s="16"/>
      <c r="E297" s="8"/>
      <c r="F297" s="20" t="str">
        <f aca="false">IF(A297="","",COUNTIFS($A$5:$A$304,A297,$D$5:$D$304,"必須"))</f>
        <v/>
      </c>
    </row>
    <row r="298" customFormat="false" ht="15" hidden="false" customHeight="false" outlineLevel="0" collapsed="false">
      <c r="A298" s="8"/>
      <c r="B298" s="16"/>
      <c r="C298" s="16"/>
      <c r="D298" s="16"/>
      <c r="E298" s="8"/>
      <c r="F298" s="20" t="str">
        <f aca="false">IF(A298="","",COUNTIFS($A$5:$A$304,A298,$D$5:$D$304,"必須"))</f>
        <v/>
      </c>
    </row>
    <row r="299" customFormat="false" ht="15" hidden="false" customHeight="false" outlineLevel="0" collapsed="false">
      <c r="A299" s="8"/>
      <c r="B299" s="16"/>
      <c r="C299" s="16"/>
      <c r="D299" s="16"/>
      <c r="E299" s="8"/>
      <c r="F299" s="20" t="str">
        <f aca="false">IF(A299="","",COUNTIFS($A$5:$A$304,A299,$D$5:$D$304,"必須"))</f>
        <v/>
      </c>
    </row>
    <row r="300" customFormat="false" ht="15" hidden="false" customHeight="false" outlineLevel="0" collapsed="false">
      <c r="A300" s="8"/>
      <c r="B300" s="16"/>
      <c r="C300" s="16"/>
      <c r="D300" s="16"/>
      <c r="E300" s="8"/>
      <c r="F300" s="20" t="str">
        <f aca="false">IF(A300="","",COUNTIFS($A$5:$A$304,A300,$D$5:$D$304,"必須"))</f>
        <v/>
      </c>
    </row>
    <row r="301" customFormat="false" ht="15" hidden="false" customHeight="false" outlineLevel="0" collapsed="false">
      <c r="A301" s="8"/>
      <c r="B301" s="16"/>
      <c r="C301" s="16"/>
      <c r="D301" s="16"/>
      <c r="E301" s="8"/>
      <c r="F301" s="20" t="str">
        <f aca="false">IF(A301="","",COUNTIFS($A$5:$A$304,A301,$D$5:$D$304,"必須"))</f>
        <v/>
      </c>
    </row>
    <row r="302" customFormat="false" ht="15" hidden="false" customHeight="false" outlineLevel="0" collapsed="false">
      <c r="A302" s="8"/>
      <c r="B302" s="16"/>
      <c r="C302" s="16"/>
      <c r="D302" s="16"/>
      <c r="E302" s="8"/>
      <c r="F302" s="20" t="str">
        <f aca="false">IF(A302="","",COUNTIFS($A$5:$A$304,A302,$D$5:$D$304,"必須"))</f>
        <v/>
      </c>
    </row>
    <row r="303" customFormat="false" ht="15" hidden="false" customHeight="false" outlineLevel="0" collapsed="false">
      <c r="A303" s="8"/>
      <c r="B303" s="16"/>
      <c r="C303" s="16"/>
      <c r="D303" s="16"/>
      <c r="E303" s="8"/>
      <c r="F303" s="20" t="str">
        <f aca="false">IF(A303="","",COUNTIFS($A$5:$A$304,A303,$D$5:$D$304,"必須"))</f>
        <v/>
      </c>
    </row>
    <row r="304" customFormat="false" ht="15" hidden="false" customHeight="false" outlineLevel="0" collapsed="false">
      <c r="A304" s="8"/>
      <c r="B304" s="16"/>
      <c r="C304" s="16"/>
      <c r="D304" s="16"/>
      <c r="E304" s="8"/>
      <c r="F304" s="20" t="str">
        <f aca="false">IF(A304="","",COUNTIFS($A$5:$A$304,A304,$D$5:$D$304,"必須"))</f>
        <v/>
      </c>
    </row>
  </sheetData>
  <mergeCells count="2">
    <mergeCell ref="A1:F1"/>
    <mergeCell ref="A2:F2"/>
  </mergeCells>
  <dataValidations count="3">
    <dataValidation allowBlank="true" errorStyle="stop" operator="between" showDropDown="false" showErrorMessage="false" showInputMessage="false" sqref="B5:B304" type="list">
      <formula1>選項!$C$2:$C$6</formula1>
      <formula2>0</formula2>
    </dataValidation>
    <dataValidation allowBlank="true" errorStyle="stop" operator="between" showDropDown="false" showErrorMessage="false" showInputMessage="false" sqref="C5:C304" type="list">
      <formula1>選項!$L$2:$L$11</formula1>
      <formula2>0</formula2>
    </dataValidation>
    <dataValidation allowBlank="true" errorStyle="stop" operator="between" showDropDown="false" showErrorMessage="false" showInputMessage="false" sqref="D5:D304" type="list">
      <formula1>選項!$F$2:$F$3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6"/>
  </cols>
  <sheetData>
    <row r="1" customFormat="false" ht="33.75" hidden="false" customHeight="true" outlineLevel="0" collapsed="false">
      <c r="A1" s="21" t="s">
        <v>298</v>
      </c>
      <c r="B1" s="21"/>
      <c r="C1" s="21"/>
      <c r="D1" s="21"/>
      <c r="E1" s="21"/>
      <c r="F1" s="21"/>
    </row>
    <row r="2" customFormat="false" ht="30" hidden="false" customHeight="true" outlineLevel="0" collapsed="false">
      <c r="A2" s="22" t="s">
        <v>299</v>
      </c>
      <c r="B2" s="22"/>
      <c r="C2" s="22"/>
      <c r="D2" s="22"/>
      <c r="E2" s="22"/>
      <c r="F2" s="22"/>
    </row>
    <row r="3" customFormat="false" ht="25.5" hidden="false" customHeight="true" outlineLevel="0" collapsed="false">
      <c r="A3" s="23" t="s">
        <v>300</v>
      </c>
      <c r="B3" s="23"/>
      <c r="C3" s="23"/>
      <c r="D3" s="23"/>
      <c r="E3" s="23"/>
      <c r="F3" s="23"/>
    </row>
    <row r="5" customFormat="false" ht="20.1" hidden="false" customHeight="false" outlineLevel="0" collapsed="false">
      <c r="A5" s="24" t="s">
        <v>160</v>
      </c>
      <c r="B5" s="24" t="s">
        <v>301</v>
      </c>
      <c r="C5" s="24" t="s">
        <v>302</v>
      </c>
      <c r="D5" s="24" t="s">
        <v>303</v>
      </c>
      <c r="E5" s="24" t="s">
        <v>304</v>
      </c>
      <c r="F5" s="24" t="s">
        <v>305</v>
      </c>
    </row>
    <row r="6" customFormat="false" ht="45.75" hidden="false" customHeight="true" outlineLevel="0" collapsed="false">
      <c r="A6" s="25" t="s">
        <v>306</v>
      </c>
      <c r="B6" s="26"/>
      <c r="C6" s="26"/>
      <c r="D6" s="27" t="s">
        <v>186</v>
      </c>
      <c r="E6" s="26"/>
      <c r="F6" s="26"/>
    </row>
    <row r="7" customFormat="false" ht="45.75" hidden="false" customHeight="true" outlineLevel="0" collapsed="false">
      <c r="A7" s="25" t="s">
        <v>307</v>
      </c>
      <c r="B7" s="26"/>
      <c r="C7" s="26"/>
      <c r="D7" s="26"/>
      <c r="E7" s="26"/>
      <c r="F7" s="26"/>
    </row>
    <row r="8" customFormat="false" ht="15.75" hidden="false" customHeight="true" outlineLevel="0" collapsed="false">
      <c r="A8" s="28" t="s">
        <v>308</v>
      </c>
      <c r="B8" s="28"/>
      <c r="C8" s="28"/>
      <c r="D8" s="28"/>
      <c r="E8" s="28"/>
      <c r="F8" s="28"/>
    </row>
    <row r="9" customFormat="false" ht="45.75" hidden="false" customHeight="true" outlineLevel="0" collapsed="false">
      <c r="A9" s="25" t="s">
        <v>309</v>
      </c>
      <c r="B9" s="26"/>
      <c r="C9" s="26"/>
      <c r="D9" s="26"/>
      <c r="E9" s="26"/>
      <c r="F9" s="26"/>
    </row>
    <row r="10" customFormat="false" ht="45.75" hidden="false" customHeight="true" outlineLevel="0" collapsed="false">
      <c r="A10" s="25" t="s">
        <v>310</v>
      </c>
      <c r="B10" s="26"/>
      <c r="C10" s="26"/>
      <c r="D10" s="26"/>
      <c r="E10" s="26"/>
      <c r="F10" s="26"/>
    </row>
    <row r="11" customFormat="false" ht="15.75" hidden="false" customHeight="true" outlineLevel="0" collapsed="false">
      <c r="A11" s="28" t="s">
        <v>311</v>
      </c>
      <c r="B11" s="28"/>
      <c r="C11" s="28"/>
      <c r="D11" s="28"/>
      <c r="E11" s="28"/>
      <c r="F11" s="28"/>
    </row>
    <row r="12" customFormat="false" ht="45.75" hidden="false" customHeight="true" outlineLevel="0" collapsed="false">
      <c r="A12" s="25" t="s">
        <v>312</v>
      </c>
      <c r="B12" s="26"/>
      <c r="C12" s="26"/>
      <c r="D12" s="26"/>
      <c r="E12" s="26"/>
      <c r="F12" s="26"/>
    </row>
    <row r="13" customFormat="false" ht="45.75" hidden="false" customHeight="true" outlineLevel="0" collapsed="false">
      <c r="A13" s="25" t="s">
        <v>313</v>
      </c>
      <c r="B13" s="26"/>
      <c r="C13" s="26"/>
      <c r="D13" s="26"/>
      <c r="E13" s="26"/>
      <c r="F13" s="26"/>
    </row>
    <row r="14" customFormat="false" ht="45.75" hidden="false" customHeight="true" outlineLevel="0" collapsed="false">
      <c r="A14" s="25" t="s">
        <v>314</v>
      </c>
      <c r="B14" s="26"/>
      <c r="C14" s="26"/>
      <c r="D14" s="26"/>
      <c r="E14" s="26"/>
      <c r="F14" s="26"/>
    </row>
    <row r="16" customFormat="false" ht="19.4" hidden="false" customHeight="true" outlineLevel="0" collapsed="false">
      <c r="A16" s="29" t="s">
        <v>315</v>
      </c>
      <c r="B16" s="29"/>
      <c r="C16" s="29"/>
      <c r="D16" s="29"/>
      <c r="E16" s="29"/>
      <c r="F16" s="29"/>
    </row>
    <row r="17" customFormat="false" ht="27.75" hidden="false" customHeight="true" outlineLevel="0" collapsed="false">
      <c r="A17" s="30"/>
      <c r="B17" s="30"/>
      <c r="C17" s="30"/>
      <c r="D17" s="30"/>
      <c r="E17" s="30"/>
      <c r="F17" s="30"/>
    </row>
    <row r="18" customFormat="false" ht="27.75" hidden="false" customHeight="true" outlineLevel="0" collapsed="false">
      <c r="A18" s="30"/>
      <c r="B18" s="30"/>
      <c r="C18" s="30"/>
      <c r="D18" s="30"/>
      <c r="E18" s="30"/>
      <c r="F18" s="30"/>
    </row>
    <row r="19" customFormat="false" ht="27.75" hidden="false" customHeight="true" outlineLevel="0" collapsed="false">
      <c r="A19" s="30"/>
      <c r="B19" s="30"/>
      <c r="C19" s="30"/>
      <c r="D19" s="30"/>
      <c r="E19" s="30"/>
      <c r="F19" s="30"/>
    </row>
    <row r="21" customFormat="false" ht="15" hidden="false" customHeight="true" outlineLevel="0" collapsed="false">
      <c r="A21" s="13" t="s">
        <v>316</v>
      </c>
      <c r="B21" s="13"/>
      <c r="C21" s="13"/>
      <c r="D21" s="13"/>
      <c r="E21" s="13"/>
      <c r="F21" s="13"/>
    </row>
  </sheetData>
  <mergeCells count="10">
    <mergeCell ref="A1:F1"/>
    <mergeCell ref="A2:F2"/>
    <mergeCell ref="A3:F3"/>
    <mergeCell ref="A8:F8"/>
    <mergeCell ref="A11:F11"/>
    <mergeCell ref="A16:F16"/>
    <mergeCell ref="A17:F17"/>
    <mergeCell ref="A18:F18"/>
    <mergeCell ref="A19:F19"/>
    <mergeCell ref="A21:F2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</cols>
  <sheetData>
    <row r="1" customFormat="false" ht="23.85" hidden="false" customHeight="false" outlineLevel="0" collapsed="false">
      <c r="A1" s="31" t="s">
        <v>317</v>
      </c>
      <c r="B1" s="31"/>
      <c r="C1" s="31"/>
      <c r="D1" s="31"/>
      <c r="E1" s="31"/>
    </row>
    <row r="2" customFormat="false" ht="15" hidden="false" customHeight="false" outlineLevel="0" collapsed="false">
      <c r="A2" s="32" t="s">
        <v>318</v>
      </c>
      <c r="B2" s="32"/>
      <c r="C2" s="32"/>
      <c r="D2" s="32"/>
      <c r="E2" s="32"/>
    </row>
    <row r="3" customFormat="false" ht="32.8" hidden="false" customHeight="false" outlineLevel="0" collapsed="false">
      <c r="A3" s="3" t="s">
        <v>147</v>
      </c>
      <c r="B3" s="3" t="s">
        <v>319</v>
      </c>
      <c r="C3" s="3" t="s">
        <v>320</v>
      </c>
      <c r="D3" s="3" t="s">
        <v>321</v>
      </c>
      <c r="E3" s="3" t="s">
        <v>322</v>
      </c>
    </row>
    <row r="4" customFormat="false" ht="17.15" hidden="false" customHeight="false" outlineLevel="0" collapsed="false">
      <c r="A4" s="4" t="s">
        <v>214</v>
      </c>
      <c r="B4" s="5" t="n">
        <f aca="false">SUMIF(科任配課!$C$5:$C$304,A4,科任配課!$D$5:$D$304)</f>
        <v>0</v>
      </c>
      <c r="C4" s="5" t="n">
        <f aca="false">SUMIFS(科任配課!$F$5:$F$304,科任配課!$C$5:$C$304,A4,科任配課!$E$5:$E$304,"&lt;&gt;原班教室")</f>
        <v>0</v>
      </c>
      <c r="D4" s="5" t="n">
        <f aca="false">COUNTIF(本土語預排!$A$5:$A$154,A4)</f>
        <v>0</v>
      </c>
      <c r="E4" s="5" t="n">
        <f aca="false">COUNTIF(特教抽離!$B$5:$B$124,A4)</f>
        <v>0</v>
      </c>
    </row>
    <row r="5" customFormat="false" ht="17.15" hidden="false" customHeight="false" outlineLevel="0" collapsed="false">
      <c r="A5" s="4" t="s">
        <v>215</v>
      </c>
      <c r="B5" s="5" t="n">
        <f aca="false">SUMIF(科任配課!$C$5:$C$304,A5,科任配課!$D$5:$D$304)</f>
        <v>0</v>
      </c>
      <c r="C5" s="5" t="n">
        <f aca="false">SUMIFS(科任配課!$F$5:$F$304,科任配課!$C$5:$C$304,A5,科任配課!$E$5:$E$304,"&lt;&gt;原班教室")</f>
        <v>0</v>
      </c>
      <c r="D5" s="5" t="n">
        <f aca="false">COUNTIF(本土語預排!$A$5:$A$154,A5)</f>
        <v>0</v>
      </c>
      <c r="E5" s="5" t="n">
        <f aca="false">COUNTIF(特教抽離!$B$5:$B$124,A5)</f>
        <v>0</v>
      </c>
    </row>
    <row r="6" customFormat="false" ht="17.15" hidden="false" customHeight="false" outlineLevel="0" collapsed="false">
      <c r="A6" s="4" t="s">
        <v>218</v>
      </c>
      <c r="B6" s="5" t="n">
        <f aca="false">SUMIF(科任配課!$C$5:$C$304,A6,科任配課!$D$5:$D$304)</f>
        <v>0</v>
      </c>
      <c r="C6" s="5" t="n">
        <f aca="false">SUMIFS(科任配課!$F$5:$F$304,科任配課!$C$5:$C$304,A6,科任配課!$E$5:$E$304,"&lt;&gt;原班教室")</f>
        <v>0</v>
      </c>
      <c r="D6" s="5" t="n">
        <f aca="false">COUNTIF(本土語預排!$A$5:$A$154,A6)</f>
        <v>0</v>
      </c>
      <c r="E6" s="5" t="n">
        <f aca="false">COUNTIF(特教抽離!$B$5:$B$124,A6)</f>
        <v>0</v>
      </c>
    </row>
    <row r="7" customFormat="false" ht="17.15" hidden="false" customHeight="false" outlineLevel="0" collapsed="false">
      <c r="A7" s="4" t="s">
        <v>221</v>
      </c>
      <c r="B7" s="5" t="n">
        <f aca="false">SUMIF(科任配課!$C$5:$C$304,A7,科任配課!$D$5:$D$304)</f>
        <v>0</v>
      </c>
      <c r="C7" s="5" t="n">
        <f aca="false">SUMIFS(科任配課!$F$5:$F$304,科任配課!$C$5:$C$304,A7,科任配課!$E$5:$E$304,"&lt;&gt;原班教室")</f>
        <v>0</v>
      </c>
      <c r="D7" s="5" t="n">
        <f aca="false">COUNTIF(本土語預排!$A$5:$A$154,A7)</f>
        <v>0</v>
      </c>
      <c r="E7" s="5" t="n">
        <f aca="false">COUNTIF(特教抽離!$B$5:$B$124,A7)</f>
        <v>0</v>
      </c>
    </row>
    <row r="8" customFormat="false" ht="17.15" hidden="false" customHeight="false" outlineLevel="0" collapsed="false">
      <c r="A8" s="4" t="s">
        <v>223</v>
      </c>
      <c r="B8" s="5" t="n">
        <f aca="false">SUMIF(科任配課!$C$5:$C$304,A8,科任配課!$D$5:$D$304)</f>
        <v>0</v>
      </c>
      <c r="C8" s="5" t="n">
        <f aca="false">SUMIFS(科任配課!$F$5:$F$304,科任配課!$C$5:$C$304,A8,科任配課!$E$5:$E$304,"&lt;&gt;原班教室")</f>
        <v>0</v>
      </c>
      <c r="D8" s="5" t="n">
        <f aca="false">COUNTIF(本土語預排!$A$5:$A$154,A8)</f>
        <v>0</v>
      </c>
      <c r="E8" s="5" t="n">
        <f aca="false">COUNTIF(特教抽離!$B$5:$B$124,A8)</f>
        <v>0</v>
      </c>
    </row>
    <row r="9" customFormat="false" ht="17.15" hidden="false" customHeight="false" outlineLevel="0" collapsed="false">
      <c r="A9" s="4" t="s">
        <v>224</v>
      </c>
      <c r="B9" s="5" t="n">
        <f aca="false">SUMIF(科任配課!$C$5:$C$304,A9,科任配課!$D$5:$D$304)</f>
        <v>0</v>
      </c>
      <c r="C9" s="5" t="n">
        <f aca="false">SUMIFS(科任配課!$F$5:$F$304,科任配課!$C$5:$C$304,A9,科任配課!$E$5:$E$304,"&lt;&gt;原班教室")</f>
        <v>0</v>
      </c>
      <c r="D9" s="5" t="n">
        <f aca="false">COUNTIF(本土語預排!$A$5:$A$154,A9)</f>
        <v>0</v>
      </c>
      <c r="E9" s="5" t="n">
        <f aca="false">COUNTIF(特教抽離!$B$5:$B$124,A9)</f>
        <v>0</v>
      </c>
    </row>
    <row r="10" customFormat="false" ht="17.15" hidden="false" customHeight="false" outlineLevel="0" collapsed="false">
      <c r="A10" s="4" t="s">
        <v>225</v>
      </c>
      <c r="B10" s="5" t="n">
        <f aca="false">SUMIF(科任配課!$C$5:$C$304,A10,科任配課!$D$5:$D$304)</f>
        <v>0</v>
      </c>
      <c r="C10" s="5" t="n">
        <f aca="false">SUMIFS(科任配課!$F$5:$F$304,科任配課!$C$5:$C$304,A10,科任配課!$E$5:$E$304,"&lt;&gt;原班教室")</f>
        <v>0</v>
      </c>
      <c r="D10" s="5" t="n">
        <f aca="false">COUNTIF(本土語預排!$A$5:$A$154,A10)</f>
        <v>0</v>
      </c>
      <c r="E10" s="5" t="n">
        <f aca="false">COUNTIF(特教抽離!$B$5:$B$124,A10)</f>
        <v>0</v>
      </c>
    </row>
    <row r="11" customFormat="false" ht="17.15" hidden="false" customHeight="false" outlineLevel="0" collapsed="false">
      <c r="A11" s="4" t="s">
        <v>226</v>
      </c>
      <c r="B11" s="5" t="n">
        <f aca="false">SUMIF(科任配課!$C$5:$C$304,A11,科任配課!$D$5:$D$304)</f>
        <v>0</v>
      </c>
      <c r="C11" s="5" t="n">
        <f aca="false">SUMIFS(科任配課!$F$5:$F$304,科任配課!$C$5:$C$304,A11,科任配課!$E$5:$E$304,"&lt;&gt;原班教室")</f>
        <v>0</v>
      </c>
      <c r="D11" s="5" t="n">
        <f aca="false">COUNTIF(本土語預排!$A$5:$A$154,A11)</f>
        <v>0</v>
      </c>
      <c r="E11" s="5" t="n">
        <f aca="false">COUNTIF(特教抽離!$B$5:$B$124,A11)</f>
        <v>0</v>
      </c>
    </row>
    <row r="12" customFormat="false" ht="17.15" hidden="false" customHeight="false" outlineLevel="0" collapsed="false">
      <c r="A12" s="4" t="s">
        <v>227</v>
      </c>
      <c r="B12" s="5" t="n">
        <f aca="false">SUMIF(科任配課!$C$5:$C$304,A12,科任配課!$D$5:$D$304)</f>
        <v>0</v>
      </c>
      <c r="C12" s="5" t="n">
        <f aca="false">SUMIFS(科任配課!$F$5:$F$304,科任配課!$C$5:$C$304,A12,科任配課!$E$5:$E$304,"&lt;&gt;原班教室")</f>
        <v>0</v>
      </c>
      <c r="D12" s="5" t="n">
        <f aca="false">COUNTIF(本土語預排!$A$5:$A$154,A12)</f>
        <v>0</v>
      </c>
      <c r="E12" s="5" t="n">
        <f aca="false">COUNTIF(特教抽離!$B$5:$B$124,A12)</f>
        <v>0</v>
      </c>
    </row>
    <row r="13" customFormat="false" ht="17.15" hidden="false" customHeight="false" outlineLevel="0" collapsed="false">
      <c r="A13" s="4" t="s">
        <v>228</v>
      </c>
      <c r="B13" s="5" t="n">
        <f aca="false">SUMIF(科任配課!$C$5:$C$304,A13,科任配課!$D$5:$D$304)</f>
        <v>0</v>
      </c>
      <c r="C13" s="5" t="n">
        <f aca="false">SUMIFS(科任配課!$F$5:$F$304,科任配課!$C$5:$C$304,A13,科任配課!$E$5:$E$304,"&lt;&gt;原班教室")</f>
        <v>0</v>
      </c>
      <c r="D13" s="5" t="n">
        <f aca="false">COUNTIF(本土語預排!$A$5:$A$154,A13)</f>
        <v>0</v>
      </c>
      <c r="E13" s="5" t="n">
        <f aca="false">COUNTIF(特教抽離!$B$5:$B$124,A13)</f>
        <v>0</v>
      </c>
    </row>
    <row r="14" customFormat="false" ht="17.15" hidden="false" customHeight="false" outlineLevel="0" collapsed="false">
      <c r="A14" s="4" t="s">
        <v>229</v>
      </c>
      <c r="B14" s="5" t="n">
        <f aca="false">SUMIF(科任配課!$C$5:$C$304,A14,科任配課!$D$5:$D$304)</f>
        <v>0</v>
      </c>
      <c r="C14" s="5" t="n">
        <f aca="false">SUMIFS(科任配課!$F$5:$F$304,科任配課!$C$5:$C$304,A14,科任配課!$E$5:$E$304,"&lt;&gt;原班教室")</f>
        <v>0</v>
      </c>
      <c r="D14" s="5" t="n">
        <f aca="false">COUNTIF(本土語預排!$A$5:$A$154,A14)</f>
        <v>0</v>
      </c>
      <c r="E14" s="5" t="n">
        <f aca="false">COUNTIF(特教抽離!$B$5:$B$124,A14)</f>
        <v>0</v>
      </c>
    </row>
    <row r="15" customFormat="false" ht="17.15" hidden="false" customHeight="false" outlineLevel="0" collapsed="false">
      <c r="A15" s="4" t="s">
        <v>230</v>
      </c>
      <c r="B15" s="5" t="n">
        <f aca="false">SUMIF(科任配課!$C$5:$C$304,A15,科任配課!$D$5:$D$304)</f>
        <v>0</v>
      </c>
      <c r="C15" s="5" t="n">
        <f aca="false">SUMIFS(科任配課!$F$5:$F$304,科任配課!$C$5:$C$304,A15,科任配課!$E$5:$E$304,"&lt;&gt;原班教室")</f>
        <v>0</v>
      </c>
      <c r="D15" s="5" t="n">
        <f aca="false">COUNTIF(本土語預排!$A$5:$A$154,A15)</f>
        <v>0</v>
      </c>
      <c r="E15" s="5" t="n">
        <f aca="false">COUNTIF(特教抽離!$B$5:$B$124,A15)</f>
        <v>0</v>
      </c>
    </row>
    <row r="16" customFormat="false" ht="17.15" hidden="false" customHeight="false" outlineLevel="0" collapsed="false">
      <c r="A16" s="4" t="s">
        <v>231</v>
      </c>
      <c r="B16" s="5" t="n">
        <f aca="false">SUMIF(科任配課!$C$5:$C$304,A16,科任配課!$D$5:$D$304)</f>
        <v>0</v>
      </c>
      <c r="C16" s="5" t="n">
        <f aca="false">SUMIFS(科任配課!$F$5:$F$304,科任配課!$C$5:$C$304,A16,科任配課!$E$5:$E$304,"&lt;&gt;原班教室")</f>
        <v>0</v>
      </c>
      <c r="D16" s="5" t="n">
        <f aca="false">COUNTIF(本土語預排!$A$5:$A$154,A16)</f>
        <v>0</v>
      </c>
      <c r="E16" s="5" t="n">
        <f aca="false">COUNTIF(特教抽離!$B$5:$B$124,A16)</f>
        <v>0</v>
      </c>
    </row>
    <row r="17" customFormat="false" ht="17.15" hidden="false" customHeight="false" outlineLevel="0" collapsed="false">
      <c r="A17" s="4" t="s">
        <v>232</v>
      </c>
      <c r="B17" s="5" t="n">
        <f aca="false">SUMIF(科任配課!$C$5:$C$304,A17,科任配課!$D$5:$D$304)</f>
        <v>0</v>
      </c>
      <c r="C17" s="5" t="n">
        <f aca="false">SUMIFS(科任配課!$F$5:$F$304,科任配課!$C$5:$C$304,A17,科任配課!$E$5:$E$304,"&lt;&gt;原班教室")</f>
        <v>0</v>
      </c>
      <c r="D17" s="5" t="n">
        <f aca="false">COUNTIF(本土語預排!$A$5:$A$154,A17)</f>
        <v>0</v>
      </c>
      <c r="E17" s="5" t="n">
        <f aca="false">COUNTIF(特教抽離!$B$5:$B$124,A17)</f>
        <v>0</v>
      </c>
    </row>
    <row r="18" customFormat="false" ht="17.15" hidden="false" customHeight="false" outlineLevel="0" collapsed="false">
      <c r="A18" s="4" t="s">
        <v>233</v>
      </c>
      <c r="B18" s="5" t="n">
        <f aca="false">SUMIF(科任配課!$C$5:$C$304,A18,科任配課!$D$5:$D$304)</f>
        <v>0</v>
      </c>
      <c r="C18" s="5" t="n">
        <f aca="false">SUMIFS(科任配課!$F$5:$F$304,科任配課!$C$5:$C$304,A18,科任配課!$E$5:$E$304,"&lt;&gt;原班教室")</f>
        <v>0</v>
      </c>
      <c r="D18" s="5" t="n">
        <f aca="false">COUNTIF(本土語預排!$A$5:$A$154,A18)</f>
        <v>0</v>
      </c>
      <c r="E18" s="5" t="n">
        <f aca="false">COUNTIF(特教抽離!$B$5:$B$124,A18)</f>
        <v>0</v>
      </c>
    </row>
    <row r="19" customFormat="false" ht="17.15" hidden="false" customHeight="false" outlineLevel="0" collapsed="false">
      <c r="A19" s="4" t="s">
        <v>234</v>
      </c>
      <c r="B19" s="5" t="n">
        <f aca="false">SUMIF(科任配課!$C$5:$C$304,A19,科任配課!$D$5:$D$304)</f>
        <v>0</v>
      </c>
      <c r="C19" s="5" t="n">
        <f aca="false">SUMIFS(科任配課!$F$5:$F$304,科任配課!$C$5:$C$304,A19,科任配課!$E$5:$E$304,"&lt;&gt;原班教室")</f>
        <v>0</v>
      </c>
      <c r="D19" s="5" t="n">
        <f aca="false">COUNTIF(本土語預排!$A$5:$A$154,A19)</f>
        <v>0</v>
      </c>
      <c r="E19" s="5" t="n">
        <f aca="false">COUNTIF(特教抽離!$B$5:$B$124,A19)</f>
        <v>0</v>
      </c>
    </row>
    <row r="20" customFormat="false" ht="17.15" hidden="false" customHeight="false" outlineLevel="0" collapsed="false">
      <c r="A20" s="4" t="s">
        <v>235</v>
      </c>
      <c r="B20" s="5" t="n">
        <f aca="false">SUMIF(科任配課!$C$5:$C$304,A20,科任配課!$D$5:$D$304)</f>
        <v>0</v>
      </c>
      <c r="C20" s="5" t="n">
        <f aca="false">SUMIFS(科任配課!$F$5:$F$304,科任配課!$C$5:$C$304,A20,科任配課!$E$5:$E$304,"&lt;&gt;原班教室")</f>
        <v>0</v>
      </c>
      <c r="D20" s="5" t="n">
        <f aca="false">COUNTIF(本土語預排!$A$5:$A$154,A20)</f>
        <v>0</v>
      </c>
      <c r="E20" s="5" t="n">
        <f aca="false">COUNTIF(特教抽離!$B$5:$B$124,A20)</f>
        <v>0</v>
      </c>
    </row>
    <row r="21" customFormat="false" ht="17.15" hidden="false" customHeight="false" outlineLevel="0" collapsed="false">
      <c r="A21" s="4" t="s">
        <v>236</v>
      </c>
      <c r="B21" s="5" t="n">
        <f aca="false">SUMIF(科任配課!$C$5:$C$304,A21,科任配課!$D$5:$D$304)</f>
        <v>0</v>
      </c>
      <c r="C21" s="5" t="n">
        <f aca="false">SUMIFS(科任配課!$F$5:$F$304,科任配課!$C$5:$C$304,A21,科任配課!$E$5:$E$304,"&lt;&gt;原班教室")</f>
        <v>0</v>
      </c>
      <c r="D21" s="5" t="n">
        <f aca="false">COUNTIF(本土語預排!$A$5:$A$154,A21)</f>
        <v>0</v>
      </c>
      <c r="E21" s="5" t="n">
        <f aca="false">COUNTIF(特教抽離!$B$5:$B$124,A21)</f>
        <v>0</v>
      </c>
    </row>
    <row r="22" customFormat="false" ht="17.15" hidden="false" customHeight="false" outlineLevel="0" collapsed="false">
      <c r="A22" s="4" t="s">
        <v>237</v>
      </c>
      <c r="B22" s="5" t="n">
        <f aca="false">SUMIF(科任配課!$C$5:$C$304,A22,科任配課!$D$5:$D$304)</f>
        <v>0</v>
      </c>
      <c r="C22" s="5" t="n">
        <f aca="false">SUMIFS(科任配課!$F$5:$F$304,科任配課!$C$5:$C$304,A22,科任配課!$E$5:$E$304,"&lt;&gt;原班教室")</f>
        <v>0</v>
      </c>
      <c r="D22" s="5" t="n">
        <f aca="false">COUNTIF(本土語預排!$A$5:$A$154,A22)</f>
        <v>0</v>
      </c>
      <c r="E22" s="5" t="n">
        <f aca="false">COUNTIF(特教抽離!$B$5:$B$124,A22)</f>
        <v>0</v>
      </c>
    </row>
    <row r="23" customFormat="false" ht="17.15" hidden="false" customHeight="false" outlineLevel="0" collapsed="false">
      <c r="A23" s="4" t="s">
        <v>238</v>
      </c>
      <c r="B23" s="5" t="n">
        <f aca="false">SUMIF(科任配課!$C$5:$C$304,A23,科任配課!$D$5:$D$304)</f>
        <v>0</v>
      </c>
      <c r="C23" s="5" t="n">
        <f aca="false">SUMIFS(科任配課!$F$5:$F$304,科任配課!$C$5:$C$304,A23,科任配課!$E$5:$E$304,"&lt;&gt;原班教室")</f>
        <v>0</v>
      </c>
      <c r="D23" s="5" t="n">
        <f aca="false">COUNTIF(本土語預排!$A$5:$A$154,A23)</f>
        <v>0</v>
      </c>
      <c r="E23" s="5" t="n">
        <f aca="false">COUNTIF(特教抽離!$B$5:$B$124,A23)</f>
        <v>0</v>
      </c>
    </row>
    <row r="24" customFormat="false" ht="17.15" hidden="false" customHeight="false" outlineLevel="0" collapsed="false">
      <c r="A24" s="4" t="s">
        <v>239</v>
      </c>
      <c r="B24" s="5" t="n">
        <f aca="false">SUMIF(科任配課!$C$5:$C$304,A24,科任配課!$D$5:$D$304)</f>
        <v>0</v>
      </c>
      <c r="C24" s="5" t="n">
        <f aca="false">SUMIFS(科任配課!$F$5:$F$304,科任配課!$C$5:$C$304,A24,科任配課!$E$5:$E$304,"&lt;&gt;原班教室")</f>
        <v>0</v>
      </c>
      <c r="D24" s="5" t="n">
        <f aca="false">COUNTIF(本土語預排!$A$5:$A$154,A24)</f>
        <v>0</v>
      </c>
      <c r="E24" s="5" t="n">
        <f aca="false">COUNTIF(特教抽離!$B$5:$B$124,A24)</f>
        <v>0</v>
      </c>
    </row>
    <row r="25" customFormat="false" ht="17.15" hidden="false" customHeight="false" outlineLevel="0" collapsed="false">
      <c r="A25" s="4" t="s">
        <v>240</v>
      </c>
      <c r="B25" s="5" t="n">
        <f aca="false">SUMIF(科任配課!$C$5:$C$304,A25,科任配課!$D$5:$D$304)</f>
        <v>0</v>
      </c>
      <c r="C25" s="5" t="n">
        <f aca="false">SUMIFS(科任配課!$F$5:$F$304,科任配課!$C$5:$C$304,A25,科任配課!$E$5:$E$304,"&lt;&gt;原班教室")</f>
        <v>0</v>
      </c>
      <c r="D25" s="5" t="n">
        <f aca="false">COUNTIF(本土語預排!$A$5:$A$154,A25)</f>
        <v>0</v>
      </c>
      <c r="E25" s="5" t="n">
        <f aca="false">COUNTIF(特教抽離!$B$5:$B$124,A25)</f>
        <v>0</v>
      </c>
    </row>
    <row r="26" customFormat="false" ht="17.15" hidden="false" customHeight="false" outlineLevel="0" collapsed="false">
      <c r="A26" s="4" t="s">
        <v>241</v>
      </c>
      <c r="B26" s="5" t="n">
        <f aca="false">SUMIF(科任配課!$C$5:$C$304,A26,科任配課!$D$5:$D$304)</f>
        <v>0</v>
      </c>
      <c r="C26" s="5" t="n">
        <f aca="false">SUMIFS(科任配課!$F$5:$F$304,科任配課!$C$5:$C$304,A26,科任配課!$E$5:$E$304,"&lt;&gt;原班教室")</f>
        <v>0</v>
      </c>
      <c r="D26" s="5" t="n">
        <f aca="false">COUNTIF(本土語預排!$A$5:$A$154,A26)</f>
        <v>0</v>
      </c>
      <c r="E26" s="5" t="n">
        <f aca="false">COUNTIF(特教抽離!$B$5:$B$124,A26)</f>
        <v>0</v>
      </c>
    </row>
    <row r="27" customFormat="false" ht="17.15" hidden="false" customHeight="false" outlineLevel="0" collapsed="false">
      <c r="A27" s="4" t="s">
        <v>242</v>
      </c>
      <c r="B27" s="5" t="n">
        <f aca="false">SUMIF(科任配課!$C$5:$C$304,A27,科任配課!$D$5:$D$304)</f>
        <v>0</v>
      </c>
      <c r="C27" s="5" t="n">
        <f aca="false">SUMIFS(科任配課!$F$5:$F$304,科任配課!$C$5:$C$304,A27,科任配課!$E$5:$E$304,"&lt;&gt;原班教室")</f>
        <v>0</v>
      </c>
      <c r="D27" s="5" t="n">
        <f aca="false">COUNTIF(本土語預排!$A$5:$A$154,A27)</f>
        <v>0</v>
      </c>
      <c r="E27" s="5" t="n">
        <f aca="false">COUNTIF(特教抽離!$B$5:$B$124,A27)</f>
        <v>0</v>
      </c>
    </row>
    <row r="28" customFormat="false" ht="17.15" hidden="false" customHeight="false" outlineLevel="0" collapsed="false">
      <c r="A28" s="4" t="s">
        <v>243</v>
      </c>
      <c r="B28" s="5" t="n">
        <f aca="false">SUMIF(科任配課!$C$5:$C$304,A28,科任配課!$D$5:$D$304)</f>
        <v>0</v>
      </c>
      <c r="C28" s="5" t="n">
        <f aca="false">SUMIFS(科任配課!$F$5:$F$304,科任配課!$C$5:$C$304,A28,科任配課!$E$5:$E$304,"&lt;&gt;原班教室")</f>
        <v>0</v>
      </c>
      <c r="D28" s="5" t="n">
        <f aca="false">COUNTIF(本土語預排!$A$5:$A$154,A28)</f>
        <v>0</v>
      </c>
      <c r="E28" s="5" t="n">
        <f aca="false">COUNTIF(特教抽離!$B$5:$B$124,A28)</f>
        <v>0</v>
      </c>
    </row>
    <row r="29" customFormat="false" ht="17.15" hidden="false" customHeight="false" outlineLevel="0" collapsed="false">
      <c r="A29" s="4" t="s">
        <v>244</v>
      </c>
      <c r="B29" s="5" t="n">
        <f aca="false">SUMIF(科任配課!$C$5:$C$304,A29,科任配課!$D$5:$D$304)</f>
        <v>0</v>
      </c>
      <c r="C29" s="5" t="n">
        <f aca="false">SUMIFS(科任配課!$F$5:$F$304,科任配課!$C$5:$C$304,A29,科任配課!$E$5:$E$304,"&lt;&gt;原班教室")</f>
        <v>0</v>
      </c>
      <c r="D29" s="5" t="n">
        <f aca="false">COUNTIF(本土語預排!$A$5:$A$154,A29)</f>
        <v>0</v>
      </c>
      <c r="E29" s="5" t="n">
        <f aca="false">COUNTIF(特教抽離!$B$5:$B$124,A29)</f>
        <v>0</v>
      </c>
    </row>
    <row r="30" customFormat="false" ht="17.15" hidden="false" customHeight="false" outlineLevel="0" collapsed="false">
      <c r="A30" s="4" t="s">
        <v>245</v>
      </c>
      <c r="B30" s="5" t="n">
        <f aca="false">SUMIF(科任配課!$C$5:$C$304,A30,科任配課!$D$5:$D$304)</f>
        <v>0</v>
      </c>
      <c r="C30" s="5" t="n">
        <f aca="false">SUMIFS(科任配課!$F$5:$F$304,科任配課!$C$5:$C$304,A30,科任配課!$E$5:$E$304,"&lt;&gt;原班教室")</f>
        <v>0</v>
      </c>
      <c r="D30" s="5" t="n">
        <f aca="false">COUNTIF(本土語預排!$A$5:$A$154,A30)</f>
        <v>0</v>
      </c>
      <c r="E30" s="5" t="n">
        <f aca="false">COUNTIF(特教抽離!$B$5:$B$124,A30)</f>
        <v>0</v>
      </c>
    </row>
    <row r="31" customFormat="false" ht="17.15" hidden="false" customHeight="false" outlineLevel="0" collapsed="false">
      <c r="A31" s="4" t="s">
        <v>246</v>
      </c>
      <c r="B31" s="5" t="n">
        <f aca="false">SUMIF(科任配課!$C$5:$C$304,A31,科任配課!$D$5:$D$304)</f>
        <v>0</v>
      </c>
      <c r="C31" s="5" t="n">
        <f aca="false">SUMIFS(科任配課!$F$5:$F$304,科任配課!$C$5:$C$304,A31,科任配課!$E$5:$E$304,"&lt;&gt;原班教室")</f>
        <v>0</v>
      </c>
      <c r="D31" s="5" t="n">
        <f aca="false">COUNTIF(本土語預排!$A$5:$A$154,A31)</f>
        <v>0</v>
      </c>
      <c r="E31" s="5" t="n">
        <f aca="false">COUNTIF(特教抽離!$B$5:$B$124,A31)</f>
        <v>0</v>
      </c>
    </row>
    <row r="32" customFormat="false" ht="17.15" hidden="false" customHeight="false" outlineLevel="0" collapsed="false">
      <c r="A32" s="4" t="s">
        <v>247</v>
      </c>
      <c r="B32" s="5" t="n">
        <f aca="false">SUMIF(科任配課!$C$5:$C$304,A32,科任配課!$D$5:$D$304)</f>
        <v>0</v>
      </c>
      <c r="C32" s="5" t="n">
        <f aca="false">SUMIFS(科任配課!$F$5:$F$304,科任配課!$C$5:$C$304,A32,科任配課!$E$5:$E$304,"&lt;&gt;原班教室")</f>
        <v>0</v>
      </c>
      <c r="D32" s="5" t="n">
        <f aca="false">COUNTIF(本土語預排!$A$5:$A$154,A32)</f>
        <v>0</v>
      </c>
      <c r="E32" s="5" t="n">
        <f aca="false">COUNTIF(特教抽離!$B$5:$B$124,A32)</f>
        <v>0</v>
      </c>
    </row>
    <row r="33" customFormat="false" ht="17.15" hidden="false" customHeight="false" outlineLevel="0" collapsed="false">
      <c r="A33" s="4" t="s">
        <v>248</v>
      </c>
      <c r="B33" s="5" t="n">
        <f aca="false">SUMIF(科任配課!$C$5:$C$304,A33,科任配課!$D$5:$D$304)</f>
        <v>0</v>
      </c>
      <c r="C33" s="5" t="n">
        <f aca="false">SUMIFS(科任配課!$F$5:$F$304,科任配課!$C$5:$C$304,A33,科任配課!$E$5:$E$304,"&lt;&gt;原班教室")</f>
        <v>0</v>
      </c>
      <c r="D33" s="5" t="n">
        <f aca="false">COUNTIF(本土語預排!$A$5:$A$154,A33)</f>
        <v>0</v>
      </c>
      <c r="E33" s="5" t="n">
        <f aca="false">COUNTIF(特教抽離!$B$5:$B$124,A33)</f>
        <v>0</v>
      </c>
    </row>
    <row r="34" customFormat="false" ht="17.15" hidden="false" customHeight="false" outlineLevel="0" collapsed="false">
      <c r="A34" s="4" t="s">
        <v>249</v>
      </c>
      <c r="B34" s="5" t="n">
        <f aca="false">SUMIF(科任配課!$C$5:$C$304,A34,科任配課!$D$5:$D$304)</f>
        <v>0</v>
      </c>
      <c r="C34" s="5" t="n">
        <f aca="false">SUMIFS(科任配課!$F$5:$F$304,科任配課!$C$5:$C$304,A34,科任配課!$E$5:$E$304,"&lt;&gt;原班教室")</f>
        <v>0</v>
      </c>
      <c r="D34" s="5" t="n">
        <f aca="false">COUNTIF(本土語預排!$A$5:$A$154,A34)</f>
        <v>0</v>
      </c>
      <c r="E34" s="5" t="n">
        <f aca="false">COUNTIF(特教抽離!$B$5:$B$124,A34)</f>
        <v>0</v>
      </c>
    </row>
    <row r="35" customFormat="false" ht="17.15" hidden="false" customHeight="false" outlineLevel="0" collapsed="false">
      <c r="A35" s="4" t="s">
        <v>250</v>
      </c>
      <c r="B35" s="5" t="n">
        <f aca="false">SUMIF(科任配課!$C$5:$C$304,A35,科任配課!$D$5:$D$304)</f>
        <v>0</v>
      </c>
      <c r="C35" s="5" t="n">
        <f aca="false">SUMIFS(科任配課!$F$5:$F$304,科任配課!$C$5:$C$304,A35,科任配課!$E$5:$E$304,"&lt;&gt;原班教室")</f>
        <v>0</v>
      </c>
      <c r="D35" s="5" t="n">
        <f aca="false">COUNTIF(本土語預排!$A$5:$A$154,A35)</f>
        <v>0</v>
      </c>
      <c r="E35" s="5" t="n">
        <f aca="false">COUNTIF(特教抽離!$B$5:$B$124,A35)</f>
        <v>0</v>
      </c>
    </row>
    <row r="36" customFormat="false" ht="17.15" hidden="false" customHeight="false" outlineLevel="0" collapsed="false">
      <c r="A36" s="4" t="s">
        <v>251</v>
      </c>
      <c r="B36" s="5" t="n">
        <f aca="false">SUMIF(科任配課!$C$5:$C$304,A36,科任配課!$D$5:$D$304)</f>
        <v>0</v>
      </c>
      <c r="C36" s="5" t="n">
        <f aca="false">SUMIFS(科任配課!$F$5:$F$304,科任配課!$C$5:$C$304,A36,科任配課!$E$5:$E$304,"&lt;&gt;原班教室")</f>
        <v>0</v>
      </c>
      <c r="D36" s="5" t="n">
        <f aca="false">COUNTIF(本土語預排!$A$5:$A$154,A36)</f>
        <v>0</v>
      </c>
      <c r="E36" s="5" t="n">
        <f aca="false">COUNTIF(特教抽離!$B$5:$B$124,A36)</f>
        <v>0</v>
      </c>
    </row>
    <row r="37" customFormat="false" ht="17.15" hidden="false" customHeight="false" outlineLevel="0" collapsed="false">
      <c r="A37" s="4" t="s">
        <v>252</v>
      </c>
      <c r="B37" s="5" t="n">
        <f aca="false">SUMIF(科任配課!$C$5:$C$304,A37,科任配課!$D$5:$D$304)</f>
        <v>0</v>
      </c>
      <c r="C37" s="5" t="n">
        <f aca="false">SUMIFS(科任配課!$F$5:$F$304,科任配課!$C$5:$C$304,A37,科任配課!$E$5:$E$304,"&lt;&gt;原班教室")</f>
        <v>0</v>
      </c>
      <c r="D37" s="5" t="n">
        <f aca="false">COUNTIF(本土語預排!$A$5:$A$154,A37)</f>
        <v>0</v>
      </c>
      <c r="E37" s="5" t="n">
        <f aca="false">COUNTIF(特教抽離!$B$5:$B$124,A37)</f>
        <v>0</v>
      </c>
    </row>
    <row r="38" customFormat="false" ht="17.15" hidden="false" customHeight="false" outlineLevel="0" collapsed="false">
      <c r="A38" s="4" t="s">
        <v>253</v>
      </c>
      <c r="B38" s="5" t="n">
        <f aca="false">SUMIF(科任配課!$C$5:$C$304,A38,科任配課!$D$5:$D$304)</f>
        <v>0</v>
      </c>
      <c r="C38" s="5" t="n">
        <f aca="false">SUMIFS(科任配課!$F$5:$F$304,科任配課!$C$5:$C$304,A38,科任配課!$E$5:$E$304,"&lt;&gt;原班教室")</f>
        <v>0</v>
      </c>
      <c r="D38" s="5" t="n">
        <f aca="false">COUNTIF(本土語預排!$A$5:$A$154,A38)</f>
        <v>0</v>
      </c>
      <c r="E38" s="5" t="n">
        <f aca="false">COUNTIF(特教抽離!$B$5:$B$124,A38)</f>
        <v>0</v>
      </c>
    </row>
    <row r="39" customFormat="false" ht="17.15" hidden="false" customHeight="false" outlineLevel="0" collapsed="false">
      <c r="A39" s="4" t="s">
        <v>254</v>
      </c>
      <c r="B39" s="5" t="n">
        <f aca="false">SUMIF(科任配課!$C$5:$C$304,A39,科任配課!$D$5:$D$304)</f>
        <v>0</v>
      </c>
      <c r="C39" s="5" t="n">
        <f aca="false">SUMIFS(科任配課!$F$5:$F$304,科任配課!$C$5:$C$304,A39,科任配課!$E$5:$E$304,"&lt;&gt;原班教室")</f>
        <v>0</v>
      </c>
      <c r="D39" s="5" t="n">
        <f aca="false">COUNTIF(本土語預排!$A$5:$A$154,A39)</f>
        <v>0</v>
      </c>
      <c r="E39" s="5" t="n">
        <f aca="false">COUNTIF(特教抽離!$B$5:$B$124,A39)</f>
        <v>0</v>
      </c>
    </row>
    <row r="40" customFormat="false" ht="17.15" hidden="false" customHeight="false" outlineLevel="0" collapsed="false">
      <c r="A40" s="4" t="s">
        <v>255</v>
      </c>
      <c r="B40" s="5" t="n">
        <f aca="false">SUMIF(科任配課!$C$5:$C$304,A40,科任配課!$D$5:$D$304)</f>
        <v>0</v>
      </c>
      <c r="C40" s="5" t="n">
        <f aca="false">SUMIFS(科任配課!$F$5:$F$304,科任配課!$C$5:$C$304,A40,科任配課!$E$5:$E$304,"&lt;&gt;原班教室")</f>
        <v>0</v>
      </c>
      <c r="D40" s="5" t="n">
        <f aca="false">COUNTIF(本土語預排!$A$5:$A$154,A40)</f>
        <v>0</v>
      </c>
      <c r="E40" s="5" t="n">
        <f aca="false">COUNTIF(特教抽離!$B$5:$B$124,A40)</f>
        <v>0</v>
      </c>
    </row>
    <row r="41" customFormat="false" ht="17.15" hidden="false" customHeight="false" outlineLevel="0" collapsed="false">
      <c r="A41" s="4" t="s">
        <v>256</v>
      </c>
      <c r="B41" s="5" t="n">
        <f aca="false">SUMIF(科任配課!$C$5:$C$304,A41,科任配課!$D$5:$D$304)</f>
        <v>0</v>
      </c>
      <c r="C41" s="5" t="n">
        <f aca="false">SUMIFS(科任配課!$F$5:$F$304,科任配課!$C$5:$C$304,A41,科任配課!$E$5:$E$304,"&lt;&gt;原班教室")</f>
        <v>0</v>
      </c>
      <c r="D41" s="5" t="n">
        <f aca="false">COUNTIF(本土語預排!$A$5:$A$154,A41)</f>
        <v>0</v>
      </c>
      <c r="E41" s="5" t="n">
        <f aca="false">COUNTIF(特教抽離!$B$5:$B$124,A41)</f>
        <v>0</v>
      </c>
    </row>
    <row r="42" customFormat="false" ht="17.15" hidden="false" customHeight="false" outlineLevel="0" collapsed="false">
      <c r="A42" s="4" t="s">
        <v>257</v>
      </c>
      <c r="B42" s="5" t="n">
        <f aca="false">SUMIF(科任配課!$C$5:$C$304,A42,科任配課!$D$5:$D$304)</f>
        <v>0</v>
      </c>
      <c r="C42" s="5" t="n">
        <f aca="false">SUMIFS(科任配課!$F$5:$F$304,科任配課!$C$5:$C$304,A42,科任配課!$E$5:$E$304,"&lt;&gt;原班教室")</f>
        <v>0</v>
      </c>
      <c r="D42" s="5" t="n">
        <f aca="false">COUNTIF(本土語預排!$A$5:$A$154,A42)</f>
        <v>0</v>
      </c>
      <c r="E42" s="5" t="n">
        <f aca="false">COUNTIF(特教抽離!$B$5:$B$124,A42)</f>
        <v>0</v>
      </c>
    </row>
    <row r="43" customFormat="false" ht="17.15" hidden="false" customHeight="false" outlineLevel="0" collapsed="false">
      <c r="A43" s="4" t="s">
        <v>258</v>
      </c>
      <c r="B43" s="5" t="n">
        <f aca="false">SUMIF(科任配課!$C$5:$C$304,A43,科任配課!$D$5:$D$304)</f>
        <v>0</v>
      </c>
      <c r="C43" s="5" t="n">
        <f aca="false">SUMIFS(科任配課!$F$5:$F$304,科任配課!$C$5:$C$304,A43,科任配課!$E$5:$E$304,"&lt;&gt;原班教室")</f>
        <v>0</v>
      </c>
      <c r="D43" s="5" t="n">
        <f aca="false">COUNTIF(本土語預排!$A$5:$A$154,A43)</f>
        <v>0</v>
      </c>
      <c r="E43" s="5" t="n">
        <f aca="false">COUNTIF(特教抽離!$B$5:$B$124,A43)</f>
        <v>0</v>
      </c>
    </row>
    <row r="44" customFormat="false" ht="17.15" hidden="false" customHeight="false" outlineLevel="0" collapsed="false">
      <c r="A44" s="4" t="s">
        <v>259</v>
      </c>
      <c r="B44" s="5" t="n">
        <f aca="false">SUMIF(科任配課!$C$5:$C$304,A44,科任配課!$D$5:$D$304)</f>
        <v>0</v>
      </c>
      <c r="C44" s="5" t="n">
        <f aca="false">SUMIFS(科任配課!$F$5:$F$304,科任配課!$C$5:$C$304,A44,科任配課!$E$5:$E$304,"&lt;&gt;原班教室")</f>
        <v>0</v>
      </c>
      <c r="D44" s="5" t="n">
        <f aca="false">COUNTIF(本土語預排!$A$5:$A$154,A44)</f>
        <v>0</v>
      </c>
      <c r="E44" s="5" t="n">
        <f aca="false">COUNTIF(特教抽離!$B$5:$B$124,A44)</f>
        <v>0</v>
      </c>
    </row>
    <row r="45" customFormat="false" ht="17.15" hidden="false" customHeight="false" outlineLevel="0" collapsed="false">
      <c r="A45" s="4" t="s">
        <v>260</v>
      </c>
      <c r="B45" s="5" t="n">
        <f aca="false">SUMIF(科任配課!$C$5:$C$304,A45,科任配課!$D$5:$D$304)</f>
        <v>0</v>
      </c>
      <c r="C45" s="5" t="n">
        <f aca="false">SUMIFS(科任配課!$F$5:$F$304,科任配課!$C$5:$C$304,A45,科任配課!$E$5:$E$304,"&lt;&gt;原班教室")</f>
        <v>0</v>
      </c>
      <c r="D45" s="5" t="n">
        <f aca="false">COUNTIF(本土語預排!$A$5:$A$154,A45)</f>
        <v>0</v>
      </c>
      <c r="E45" s="5" t="n">
        <f aca="false">COUNTIF(特教抽離!$B$5:$B$124,A45)</f>
        <v>0</v>
      </c>
    </row>
    <row r="46" customFormat="false" ht="17.15" hidden="false" customHeight="false" outlineLevel="0" collapsed="false">
      <c r="A46" s="4" t="s">
        <v>261</v>
      </c>
      <c r="B46" s="5" t="n">
        <f aca="false">SUMIF(科任配課!$C$5:$C$304,A46,科任配課!$D$5:$D$304)</f>
        <v>0</v>
      </c>
      <c r="C46" s="5" t="n">
        <f aca="false">SUMIFS(科任配課!$F$5:$F$304,科任配課!$C$5:$C$304,A46,科任配課!$E$5:$E$304,"&lt;&gt;原班教室")</f>
        <v>0</v>
      </c>
      <c r="D46" s="5" t="n">
        <f aca="false">COUNTIF(本土語預排!$A$5:$A$154,A46)</f>
        <v>0</v>
      </c>
      <c r="E46" s="5" t="n">
        <f aca="false">COUNTIF(特教抽離!$B$5:$B$124,A46)</f>
        <v>0</v>
      </c>
    </row>
    <row r="47" customFormat="false" ht="17.15" hidden="false" customHeight="false" outlineLevel="0" collapsed="false">
      <c r="A47" s="4" t="s">
        <v>262</v>
      </c>
      <c r="B47" s="5" t="n">
        <f aca="false">SUMIF(科任配課!$C$5:$C$304,A47,科任配課!$D$5:$D$304)</f>
        <v>0</v>
      </c>
      <c r="C47" s="5" t="n">
        <f aca="false">SUMIFS(科任配課!$F$5:$F$304,科任配課!$C$5:$C$304,A47,科任配課!$E$5:$E$304,"&lt;&gt;原班教室")</f>
        <v>0</v>
      </c>
      <c r="D47" s="5" t="n">
        <f aca="false">COUNTIF(本土語預排!$A$5:$A$154,A47)</f>
        <v>0</v>
      </c>
      <c r="E47" s="5" t="n">
        <f aca="false">COUNTIF(特教抽離!$B$5:$B$124,A47)</f>
        <v>0</v>
      </c>
    </row>
    <row r="48" customFormat="false" ht="17.15" hidden="false" customHeight="false" outlineLevel="0" collapsed="false">
      <c r="A48" s="4" t="s">
        <v>263</v>
      </c>
      <c r="B48" s="5" t="n">
        <f aca="false">SUMIF(科任配課!$C$5:$C$304,A48,科任配課!$D$5:$D$304)</f>
        <v>0</v>
      </c>
      <c r="C48" s="5" t="n">
        <f aca="false">SUMIFS(科任配課!$F$5:$F$304,科任配課!$C$5:$C$304,A48,科任配課!$E$5:$E$304,"&lt;&gt;原班教室")</f>
        <v>0</v>
      </c>
      <c r="D48" s="5" t="n">
        <f aca="false">COUNTIF(本土語預排!$A$5:$A$154,A48)</f>
        <v>0</v>
      </c>
      <c r="E48" s="5" t="n">
        <f aca="false">COUNTIF(特教抽離!$B$5:$B$124,A48)</f>
        <v>0</v>
      </c>
    </row>
    <row r="49" customFormat="false" ht="17.15" hidden="false" customHeight="false" outlineLevel="0" collapsed="false">
      <c r="A49" s="4" t="s">
        <v>264</v>
      </c>
      <c r="B49" s="5" t="n">
        <f aca="false">SUMIF(科任配課!$C$5:$C$304,A49,科任配課!$D$5:$D$304)</f>
        <v>0</v>
      </c>
      <c r="C49" s="5" t="n">
        <f aca="false">SUMIFS(科任配課!$F$5:$F$304,科任配課!$C$5:$C$304,A49,科任配課!$E$5:$E$304,"&lt;&gt;原班教室")</f>
        <v>0</v>
      </c>
      <c r="D49" s="5" t="n">
        <f aca="false">COUNTIF(本土語預排!$A$5:$A$154,A49)</f>
        <v>0</v>
      </c>
      <c r="E49" s="5" t="n">
        <f aca="false">COUNTIF(特教抽離!$B$5:$B$124,A49)</f>
        <v>0</v>
      </c>
    </row>
    <row r="50" customFormat="false" ht="17.15" hidden="false" customHeight="false" outlineLevel="0" collapsed="false">
      <c r="A50" s="4" t="s">
        <v>265</v>
      </c>
      <c r="B50" s="5" t="n">
        <f aca="false">SUMIF(科任配課!$C$5:$C$304,A50,科任配課!$D$5:$D$304)</f>
        <v>0</v>
      </c>
      <c r="C50" s="5" t="n">
        <f aca="false">SUMIFS(科任配課!$F$5:$F$304,科任配課!$C$5:$C$304,A50,科任配課!$E$5:$E$304,"&lt;&gt;原班教室")</f>
        <v>0</v>
      </c>
      <c r="D50" s="5" t="n">
        <f aca="false">COUNTIF(本土語預排!$A$5:$A$154,A50)</f>
        <v>0</v>
      </c>
      <c r="E50" s="5" t="n">
        <f aca="false">COUNTIF(特教抽離!$B$5:$B$124,A50)</f>
        <v>0</v>
      </c>
    </row>
    <row r="51" customFormat="false" ht="17.15" hidden="false" customHeight="false" outlineLevel="0" collapsed="false">
      <c r="A51" s="4" t="s">
        <v>266</v>
      </c>
      <c r="B51" s="5" t="n">
        <f aca="false">SUMIF(科任配課!$C$5:$C$304,A51,科任配課!$D$5:$D$304)</f>
        <v>0</v>
      </c>
      <c r="C51" s="5" t="n">
        <f aca="false">SUMIFS(科任配課!$F$5:$F$304,科任配課!$C$5:$C$304,A51,科任配課!$E$5:$E$304,"&lt;&gt;原班教室")</f>
        <v>0</v>
      </c>
      <c r="D51" s="5" t="n">
        <f aca="false">COUNTIF(本土語預排!$A$5:$A$154,A51)</f>
        <v>0</v>
      </c>
      <c r="E51" s="5" t="n">
        <f aca="false">COUNTIF(特教抽離!$B$5:$B$124,A51)</f>
        <v>0</v>
      </c>
    </row>
    <row r="52" customFormat="false" ht="17.15" hidden="false" customHeight="false" outlineLevel="0" collapsed="false">
      <c r="A52" s="4" t="s">
        <v>267</v>
      </c>
      <c r="B52" s="5" t="n">
        <f aca="false">SUMIF(科任配課!$C$5:$C$304,A52,科任配課!$D$5:$D$304)</f>
        <v>0</v>
      </c>
      <c r="C52" s="5" t="n">
        <f aca="false">SUMIFS(科任配課!$F$5:$F$304,科任配課!$C$5:$C$304,A52,科任配課!$E$5:$E$304,"&lt;&gt;原班教室")</f>
        <v>0</v>
      </c>
      <c r="D52" s="5" t="n">
        <f aca="false">COUNTIF(本土語預排!$A$5:$A$154,A52)</f>
        <v>0</v>
      </c>
      <c r="E52" s="5" t="n">
        <f aca="false">COUNTIF(特教抽離!$B$5:$B$124,A52)</f>
        <v>0</v>
      </c>
    </row>
    <row r="53" customFormat="false" ht="17.15" hidden="false" customHeight="false" outlineLevel="0" collapsed="false">
      <c r="A53" s="4" t="s">
        <v>268</v>
      </c>
      <c r="B53" s="5" t="n">
        <f aca="false">SUMIF(科任配課!$C$5:$C$304,A53,科任配課!$D$5:$D$304)</f>
        <v>0</v>
      </c>
      <c r="C53" s="5" t="n">
        <f aca="false">SUMIFS(科任配課!$F$5:$F$304,科任配課!$C$5:$C$304,A53,科任配課!$E$5:$E$304,"&lt;&gt;原班教室")</f>
        <v>0</v>
      </c>
      <c r="D53" s="5" t="n">
        <f aca="false">COUNTIF(本土語預排!$A$5:$A$154,A53)</f>
        <v>0</v>
      </c>
      <c r="E53" s="5" t="n">
        <f aca="false">COUNTIF(特教抽離!$B$5:$B$124,A53)</f>
        <v>0</v>
      </c>
    </row>
    <row r="54" customFormat="false" ht="17.15" hidden="false" customHeight="false" outlineLevel="0" collapsed="false">
      <c r="A54" s="4" t="s">
        <v>269</v>
      </c>
      <c r="B54" s="5" t="n">
        <f aca="false">SUMIF(科任配課!$C$5:$C$304,A54,科任配課!$D$5:$D$304)</f>
        <v>0</v>
      </c>
      <c r="C54" s="5" t="n">
        <f aca="false">SUMIFS(科任配課!$F$5:$F$304,科任配課!$C$5:$C$304,A54,科任配課!$E$5:$E$304,"&lt;&gt;原班教室")</f>
        <v>0</v>
      </c>
      <c r="D54" s="5" t="n">
        <f aca="false">COUNTIF(本土語預排!$A$5:$A$154,A54)</f>
        <v>0</v>
      </c>
      <c r="E54" s="5" t="n">
        <f aca="false">COUNTIF(特教抽離!$B$5:$B$124,A54)</f>
        <v>0</v>
      </c>
    </row>
    <row r="55" customFormat="false" ht="17.15" hidden="false" customHeight="false" outlineLevel="0" collapsed="false">
      <c r="A55" s="4" t="s">
        <v>270</v>
      </c>
      <c r="B55" s="5" t="n">
        <f aca="false">SUMIF(科任配課!$C$5:$C$304,A55,科任配課!$D$5:$D$304)</f>
        <v>0</v>
      </c>
      <c r="C55" s="5" t="n">
        <f aca="false">SUMIFS(科任配課!$F$5:$F$304,科任配課!$C$5:$C$304,A55,科任配課!$E$5:$E$304,"&lt;&gt;原班教室")</f>
        <v>0</v>
      </c>
      <c r="D55" s="5" t="n">
        <f aca="false">COUNTIF(本土語預排!$A$5:$A$154,A55)</f>
        <v>0</v>
      </c>
      <c r="E55" s="5" t="n">
        <f aca="false">COUNTIF(特教抽離!$B$5:$B$124,A55)</f>
        <v>0</v>
      </c>
    </row>
    <row r="56" customFormat="false" ht="17.15" hidden="false" customHeight="false" outlineLevel="0" collapsed="false">
      <c r="A56" s="4" t="s">
        <v>271</v>
      </c>
      <c r="B56" s="5" t="n">
        <f aca="false">SUMIF(科任配課!$C$5:$C$304,A56,科任配課!$D$5:$D$304)</f>
        <v>0</v>
      </c>
      <c r="C56" s="5" t="n">
        <f aca="false">SUMIFS(科任配課!$F$5:$F$304,科任配課!$C$5:$C$304,A56,科任配課!$E$5:$E$304,"&lt;&gt;原班教室")</f>
        <v>0</v>
      </c>
      <c r="D56" s="5" t="n">
        <f aca="false">COUNTIF(本土語預排!$A$5:$A$154,A56)</f>
        <v>0</v>
      </c>
      <c r="E56" s="5" t="n">
        <f aca="false">COUNTIF(特教抽離!$B$5:$B$124,A56)</f>
        <v>0</v>
      </c>
    </row>
    <row r="57" customFormat="false" ht="17.15" hidden="false" customHeight="false" outlineLevel="0" collapsed="false">
      <c r="A57" s="4" t="s">
        <v>272</v>
      </c>
      <c r="B57" s="5" t="n">
        <f aca="false">SUMIF(科任配課!$C$5:$C$304,A57,科任配課!$D$5:$D$304)</f>
        <v>0</v>
      </c>
      <c r="C57" s="5" t="n">
        <f aca="false">SUMIFS(科任配課!$F$5:$F$304,科任配課!$C$5:$C$304,A57,科任配課!$E$5:$E$304,"&lt;&gt;原班教室")</f>
        <v>0</v>
      </c>
      <c r="D57" s="5" t="n">
        <f aca="false">COUNTIF(本土語預排!$A$5:$A$154,A57)</f>
        <v>0</v>
      </c>
      <c r="E57" s="5" t="n">
        <f aca="false">COUNTIF(特教抽離!$B$5:$B$124,A57)</f>
        <v>0</v>
      </c>
    </row>
    <row r="58" customFormat="false" ht="17.15" hidden="false" customHeight="false" outlineLevel="0" collapsed="false">
      <c r="A58" s="4" t="s">
        <v>273</v>
      </c>
      <c r="B58" s="5" t="n">
        <f aca="false">SUMIF(科任配課!$C$5:$C$304,A58,科任配課!$D$5:$D$304)</f>
        <v>0</v>
      </c>
      <c r="C58" s="5" t="n">
        <f aca="false">SUMIFS(科任配課!$F$5:$F$304,科任配課!$C$5:$C$304,A58,科任配課!$E$5:$E$304,"&lt;&gt;原班教室")</f>
        <v>0</v>
      </c>
      <c r="D58" s="5" t="n">
        <f aca="false">COUNTIF(本土語預排!$A$5:$A$154,A58)</f>
        <v>0</v>
      </c>
      <c r="E58" s="5" t="n">
        <f aca="false">COUNTIF(特教抽離!$B$5:$B$124,A58)</f>
        <v>0</v>
      </c>
    </row>
    <row r="59" customFormat="false" ht="17.15" hidden="false" customHeight="false" outlineLevel="0" collapsed="false">
      <c r="A59" s="4" t="s">
        <v>274</v>
      </c>
      <c r="B59" s="5" t="n">
        <f aca="false">SUMIF(科任配課!$C$5:$C$304,A59,科任配課!$D$5:$D$304)</f>
        <v>0</v>
      </c>
      <c r="C59" s="5" t="n">
        <f aca="false">SUMIFS(科任配課!$F$5:$F$304,科任配課!$C$5:$C$304,A59,科任配課!$E$5:$E$304,"&lt;&gt;原班教室")</f>
        <v>0</v>
      </c>
      <c r="D59" s="5" t="n">
        <f aca="false">COUNTIF(本土語預排!$A$5:$A$154,A59)</f>
        <v>0</v>
      </c>
      <c r="E59" s="5" t="n">
        <f aca="false">COUNTIF(特教抽離!$B$5:$B$124,A59)</f>
        <v>0</v>
      </c>
    </row>
    <row r="60" customFormat="false" ht="17.15" hidden="false" customHeight="false" outlineLevel="0" collapsed="false">
      <c r="A60" s="4" t="s">
        <v>275</v>
      </c>
      <c r="B60" s="5" t="n">
        <f aca="false">SUMIF(科任配課!$C$5:$C$304,A60,科任配課!$D$5:$D$304)</f>
        <v>0</v>
      </c>
      <c r="C60" s="5" t="n">
        <f aca="false">SUMIFS(科任配課!$F$5:$F$304,科任配課!$C$5:$C$304,A60,科任配課!$E$5:$E$304,"&lt;&gt;原班教室")</f>
        <v>0</v>
      </c>
      <c r="D60" s="5" t="n">
        <f aca="false">COUNTIF(本土語預排!$A$5:$A$154,A60)</f>
        <v>0</v>
      </c>
      <c r="E60" s="5" t="n">
        <f aca="false">COUNTIF(特教抽離!$B$5:$B$124,A60)</f>
        <v>0</v>
      </c>
    </row>
    <row r="61" customFormat="false" ht="17.15" hidden="false" customHeight="false" outlineLevel="0" collapsed="false">
      <c r="A61" s="4" t="s">
        <v>276</v>
      </c>
      <c r="B61" s="5" t="n">
        <f aca="false">SUMIF(科任配課!$C$5:$C$304,A61,科任配課!$D$5:$D$304)</f>
        <v>0</v>
      </c>
      <c r="C61" s="5" t="n">
        <f aca="false">SUMIFS(科任配課!$F$5:$F$304,科任配課!$C$5:$C$304,A61,科任配課!$E$5:$E$304,"&lt;&gt;原班教室")</f>
        <v>0</v>
      </c>
      <c r="D61" s="5" t="n">
        <f aca="false">COUNTIF(本土語預排!$A$5:$A$154,A61)</f>
        <v>0</v>
      </c>
      <c r="E61" s="5" t="n">
        <f aca="false">COUNTIF(特教抽離!$B$5:$B$124,A61)</f>
        <v>0</v>
      </c>
    </row>
    <row r="62" customFormat="false" ht="17.15" hidden="false" customHeight="false" outlineLevel="0" collapsed="false">
      <c r="A62" s="4" t="s">
        <v>277</v>
      </c>
      <c r="B62" s="5" t="n">
        <f aca="false">SUMIF(科任配課!$C$5:$C$304,A62,科任配課!$D$5:$D$304)</f>
        <v>0</v>
      </c>
      <c r="C62" s="5" t="n">
        <f aca="false">SUMIFS(科任配課!$F$5:$F$304,科任配課!$C$5:$C$304,A62,科任配課!$E$5:$E$304,"&lt;&gt;原班教室")</f>
        <v>0</v>
      </c>
      <c r="D62" s="5" t="n">
        <f aca="false">COUNTIF(本土語預排!$A$5:$A$154,A62)</f>
        <v>0</v>
      </c>
      <c r="E62" s="5" t="n">
        <f aca="false">COUNTIF(特教抽離!$B$5:$B$124,A62)</f>
        <v>0</v>
      </c>
    </row>
    <row r="63" customFormat="false" ht="17.15" hidden="false" customHeight="false" outlineLevel="0" collapsed="false">
      <c r="A63" s="4" t="s">
        <v>278</v>
      </c>
      <c r="B63" s="5" t="n">
        <f aca="false">SUMIF(科任配課!$C$5:$C$304,A63,科任配課!$D$5:$D$304)</f>
        <v>0</v>
      </c>
      <c r="C63" s="5" t="n">
        <f aca="false">SUMIFS(科任配課!$F$5:$F$304,科任配課!$C$5:$C$304,A63,科任配課!$E$5:$E$304,"&lt;&gt;原班教室")</f>
        <v>0</v>
      </c>
      <c r="D63" s="5" t="n">
        <f aca="false">COUNTIF(本土語預排!$A$5:$A$154,A63)</f>
        <v>0</v>
      </c>
      <c r="E63" s="5" t="n">
        <f aca="false">COUNTIF(特教抽離!$B$5:$B$124,A63)</f>
        <v>0</v>
      </c>
    </row>
    <row r="64" customFormat="false" ht="17.15" hidden="false" customHeight="false" outlineLevel="0" collapsed="false">
      <c r="A64" s="4" t="s">
        <v>279</v>
      </c>
      <c r="B64" s="5" t="n">
        <f aca="false">SUMIF(科任配課!$C$5:$C$304,A64,科任配課!$D$5:$D$304)</f>
        <v>0</v>
      </c>
      <c r="C64" s="5" t="n">
        <f aca="false">SUMIFS(科任配課!$F$5:$F$304,科任配課!$C$5:$C$304,A64,科任配課!$E$5:$E$304,"&lt;&gt;原班教室")</f>
        <v>0</v>
      </c>
      <c r="D64" s="5" t="n">
        <f aca="false">COUNTIF(本土語預排!$A$5:$A$154,A64)</f>
        <v>0</v>
      </c>
      <c r="E64" s="5" t="n">
        <f aca="false">COUNTIF(特教抽離!$B$5:$B$124,A64)</f>
        <v>0</v>
      </c>
    </row>
    <row r="65" customFormat="false" ht="17.15" hidden="false" customHeight="false" outlineLevel="0" collapsed="false">
      <c r="A65" s="4" t="s">
        <v>280</v>
      </c>
      <c r="B65" s="5" t="n">
        <f aca="false">SUMIF(科任配課!$C$5:$C$304,A65,科任配課!$D$5:$D$304)</f>
        <v>0</v>
      </c>
      <c r="C65" s="5" t="n">
        <f aca="false">SUMIFS(科任配課!$F$5:$F$304,科任配課!$C$5:$C$304,A65,科任配課!$E$5:$E$304,"&lt;&gt;原班教室")</f>
        <v>0</v>
      </c>
      <c r="D65" s="5" t="n">
        <f aca="false">COUNTIF(本土語預排!$A$5:$A$154,A65)</f>
        <v>0</v>
      </c>
      <c r="E65" s="5" t="n">
        <f aca="false">COUNTIF(特教抽離!$B$5:$B$124,A65)</f>
        <v>0</v>
      </c>
    </row>
    <row r="66" customFormat="false" ht="17.15" hidden="false" customHeight="false" outlineLevel="0" collapsed="false">
      <c r="A66" s="4" t="s">
        <v>281</v>
      </c>
      <c r="B66" s="5" t="n">
        <f aca="false">SUMIF(科任配課!$C$5:$C$304,A66,科任配課!$D$5:$D$304)</f>
        <v>0</v>
      </c>
      <c r="C66" s="5" t="n">
        <f aca="false">SUMIFS(科任配課!$F$5:$F$304,科任配課!$C$5:$C$304,A66,科任配課!$E$5:$E$304,"&lt;&gt;原班教室")</f>
        <v>0</v>
      </c>
      <c r="D66" s="5" t="n">
        <f aca="false">COUNTIF(本土語預排!$A$5:$A$154,A66)</f>
        <v>0</v>
      </c>
      <c r="E66" s="5" t="n">
        <f aca="false">COUNTIF(特教抽離!$B$5:$B$124,A66)</f>
        <v>0</v>
      </c>
    </row>
    <row r="67" customFormat="false" ht="17.15" hidden="false" customHeight="false" outlineLevel="0" collapsed="false">
      <c r="A67" s="4" t="s">
        <v>282</v>
      </c>
      <c r="B67" s="5" t="n">
        <f aca="false">SUMIF(科任配課!$C$5:$C$304,A67,科任配課!$D$5:$D$304)</f>
        <v>0</v>
      </c>
      <c r="C67" s="5" t="n">
        <f aca="false">SUMIFS(科任配課!$F$5:$F$304,科任配課!$C$5:$C$304,A67,科任配課!$E$5:$E$304,"&lt;&gt;原班教室")</f>
        <v>0</v>
      </c>
      <c r="D67" s="5" t="n">
        <f aca="false">COUNTIF(本土語預排!$A$5:$A$154,A67)</f>
        <v>0</v>
      </c>
      <c r="E67" s="5" t="n">
        <f aca="false">COUNTIF(特教抽離!$B$5:$B$124,A67)</f>
        <v>0</v>
      </c>
    </row>
    <row r="68" customFormat="false" ht="17.15" hidden="false" customHeight="false" outlineLevel="0" collapsed="false">
      <c r="A68" s="4" t="s">
        <v>283</v>
      </c>
      <c r="B68" s="5" t="n">
        <f aca="false">SUMIF(科任配課!$C$5:$C$304,A68,科任配課!$D$5:$D$304)</f>
        <v>0</v>
      </c>
      <c r="C68" s="5" t="n">
        <f aca="false">SUMIFS(科任配課!$F$5:$F$304,科任配課!$C$5:$C$304,A68,科任配課!$E$5:$E$304,"&lt;&gt;原班教室")</f>
        <v>0</v>
      </c>
      <c r="D68" s="5" t="n">
        <f aca="false">COUNTIF(本土語預排!$A$5:$A$154,A68)</f>
        <v>0</v>
      </c>
      <c r="E68" s="5" t="n">
        <f aca="false">COUNTIF(特教抽離!$B$5:$B$124,A68)</f>
        <v>0</v>
      </c>
    </row>
    <row r="69" customFormat="false" ht="17.15" hidden="false" customHeight="false" outlineLevel="0" collapsed="false">
      <c r="A69" s="4" t="s">
        <v>284</v>
      </c>
      <c r="B69" s="5" t="n">
        <f aca="false">SUMIF(科任配課!$C$5:$C$304,A69,科任配課!$D$5:$D$304)</f>
        <v>0</v>
      </c>
      <c r="C69" s="5" t="n">
        <f aca="false">SUMIFS(科任配課!$F$5:$F$304,科任配課!$C$5:$C$304,A69,科任配課!$E$5:$E$304,"&lt;&gt;原班教室")</f>
        <v>0</v>
      </c>
      <c r="D69" s="5" t="n">
        <f aca="false">COUNTIF(本土語預排!$A$5:$A$154,A69)</f>
        <v>0</v>
      </c>
      <c r="E69" s="5" t="n">
        <f aca="false">COUNTIF(特教抽離!$B$5:$B$124,A69)</f>
        <v>0</v>
      </c>
    </row>
    <row r="70" customFormat="false" ht="17.15" hidden="false" customHeight="false" outlineLevel="0" collapsed="false">
      <c r="A70" s="4" t="s">
        <v>285</v>
      </c>
      <c r="B70" s="5" t="n">
        <f aca="false">SUMIF(科任配課!$C$5:$C$304,A70,科任配課!$D$5:$D$304)</f>
        <v>0</v>
      </c>
      <c r="C70" s="5" t="n">
        <f aca="false">SUMIFS(科任配課!$F$5:$F$304,科任配課!$C$5:$C$304,A70,科任配課!$E$5:$E$304,"&lt;&gt;原班教室")</f>
        <v>0</v>
      </c>
      <c r="D70" s="5" t="n">
        <f aca="false">COUNTIF(本土語預排!$A$5:$A$154,A70)</f>
        <v>0</v>
      </c>
      <c r="E70" s="5" t="n">
        <f aca="false">COUNTIF(特教抽離!$B$5:$B$124,A70)</f>
        <v>0</v>
      </c>
    </row>
    <row r="71" customFormat="false" ht="17.15" hidden="false" customHeight="false" outlineLevel="0" collapsed="false">
      <c r="A71" s="4" t="s">
        <v>286</v>
      </c>
      <c r="B71" s="5" t="n">
        <f aca="false">SUMIF(科任配課!$C$5:$C$304,A71,科任配課!$D$5:$D$304)</f>
        <v>0</v>
      </c>
      <c r="C71" s="5" t="n">
        <f aca="false">SUMIFS(科任配課!$F$5:$F$304,科任配課!$C$5:$C$304,A71,科任配課!$E$5:$E$304,"&lt;&gt;原班教室")</f>
        <v>0</v>
      </c>
      <c r="D71" s="5" t="n">
        <f aca="false">COUNTIF(本土語預排!$A$5:$A$154,A71)</f>
        <v>0</v>
      </c>
      <c r="E71" s="5" t="n">
        <f aca="false">COUNTIF(特教抽離!$B$5:$B$124,A71)</f>
        <v>0</v>
      </c>
    </row>
    <row r="72" customFormat="false" ht="17.15" hidden="false" customHeight="false" outlineLevel="0" collapsed="false">
      <c r="A72" s="4" t="s">
        <v>287</v>
      </c>
      <c r="B72" s="5" t="n">
        <f aca="false">SUMIF(科任配課!$C$5:$C$304,A72,科任配課!$D$5:$D$304)</f>
        <v>0</v>
      </c>
      <c r="C72" s="5" t="n">
        <f aca="false">SUMIFS(科任配課!$F$5:$F$304,科任配課!$C$5:$C$304,A72,科任配課!$E$5:$E$304,"&lt;&gt;原班教室")</f>
        <v>0</v>
      </c>
      <c r="D72" s="5" t="n">
        <f aca="false">COUNTIF(本土語預排!$A$5:$A$154,A72)</f>
        <v>0</v>
      </c>
      <c r="E72" s="5" t="n">
        <f aca="false">COUNTIF(特教抽離!$B$5:$B$124,A72)</f>
        <v>0</v>
      </c>
    </row>
    <row r="73" customFormat="false" ht="17.15" hidden="false" customHeight="false" outlineLevel="0" collapsed="false">
      <c r="A73" s="4" t="s">
        <v>288</v>
      </c>
      <c r="B73" s="5" t="n">
        <f aca="false">SUMIF(科任配課!$C$5:$C$304,A73,科任配課!$D$5:$D$304)</f>
        <v>0</v>
      </c>
      <c r="C73" s="5" t="n">
        <f aca="false">SUMIFS(科任配課!$F$5:$F$304,科任配課!$C$5:$C$304,A73,科任配課!$E$5:$E$304,"&lt;&gt;原班教室")</f>
        <v>0</v>
      </c>
      <c r="D73" s="5" t="n">
        <f aca="false">COUNTIF(本土語預排!$A$5:$A$154,A73)</f>
        <v>0</v>
      </c>
      <c r="E73" s="5" t="n">
        <f aca="false">COUNTIF(特教抽離!$B$5:$B$124,A73)</f>
        <v>0</v>
      </c>
    </row>
    <row r="74" customFormat="false" ht="17.15" hidden="false" customHeight="false" outlineLevel="0" collapsed="false">
      <c r="A74" s="4" t="s">
        <v>289</v>
      </c>
      <c r="B74" s="5" t="n">
        <f aca="false">SUMIF(科任配課!$C$5:$C$304,A74,科任配課!$D$5:$D$304)</f>
        <v>0</v>
      </c>
      <c r="C74" s="5" t="n">
        <f aca="false">SUMIFS(科任配課!$F$5:$F$304,科任配課!$C$5:$C$304,A74,科任配課!$E$5:$E$304,"&lt;&gt;原班教室")</f>
        <v>0</v>
      </c>
      <c r="D74" s="5" t="n">
        <f aca="false">COUNTIF(本土語預排!$A$5:$A$154,A74)</f>
        <v>0</v>
      </c>
      <c r="E74" s="5" t="n">
        <f aca="false">COUNTIF(特教抽離!$B$5:$B$124,A74)</f>
        <v>0</v>
      </c>
    </row>
    <row r="75" customFormat="false" ht="17.15" hidden="false" customHeight="false" outlineLevel="0" collapsed="false">
      <c r="A75" s="33" t="s">
        <v>323</v>
      </c>
      <c r="B75" s="33" t="n">
        <f aca="false">SUM(B4:B74)</f>
        <v>0</v>
      </c>
      <c r="C75" s="33" t="n">
        <f aca="false">SUM(C4:C74)</f>
        <v>0</v>
      </c>
      <c r="D75" s="33" t="n">
        <f aca="false">SUM(D4:D74)</f>
        <v>0</v>
      </c>
      <c r="E75" s="33" t="n">
        <f aca="false">SUM(E4:E74)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1" t="s">
        <v>146</v>
      </c>
      <c r="B1" s="11" t="s">
        <v>147</v>
      </c>
      <c r="C1" s="11" t="s">
        <v>159</v>
      </c>
      <c r="D1" s="11" t="s">
        <v>160</v>
      </c>
      <c r="E1" s="11" t="s">
        <v>161</v>
      </c>
      <c r="F1" s="11" t="s">
        <v>292</v>
      </c>
      <c r="G1" s="11" t="s">
        <v>60</v>
      </c>
      <c r="H1" s="11" t="s">
        <v>64</v>
      </c>
      <c r="I1" s="11" t="s">
        <v>65</v>
      </c>
      <c r="J1" s="11" t="s">
        <v>324</v>
      </c>
      <c r="K1" s="11" t="s">
        <v>325</v>
      </c>
      <c r="L1" s="11" t="s">
        <v>326</v>
      </c>
      <c r="M1" s="11" t="s">
        <v>327</v>
      </c>
    </row>
    <row r="2" customFormat="false" ht="17.15" hidden="false" customHeight="false" outlineLevel="0" collapsed="false">
      <c r="A2" s="34" t="s">
        <v>328</v>
      </c>
      <c r="B2" s="0" t="s">
        <v>329</v>
      </c>
      <c r="C2" s="34" t="s">
        <v>177</v>
      </c>
      <c r="D2" s="0" t="s">
        <v>6</v>
      </c>
      <c r="E2" s="34" t="s">
        <v>164</v>
      </c>
      <c r="F2" s="34" t="s">
        <v>330</v>
      </c>
      <c r="G2" s="0" t="s">
        <v>331</v>
      </c>
      <c r="H2" s="34" t="s">
        <v>128</v>
      </c>
      <c r="I2" s="34" t="s">
        <v>72</v>
      </c>
      <c r="J2" s="34" t="s">
        <v>166</v>
      </c>
      <c r="K2" s="34" t="s">
        <v>174</v>
      </c>
      <c r="L2" s="0" t="s">
        <v>6</v>
      </c>
      <c r="M2" s="34" t="s">
        <v>69</v>
      </c>
    </row>
    <row r="3" customFormat="false" ht="17.15" hidden="false" customHeight="false" outlineLevel="0" collapsed="false">
      <c r="A3" s="34" t="s">
        <v>116</v>
      </c>
      <c r="B3" s="0" t="s">
        <v>332</v>
      </c>
      <c r="C3" s="34" t="s">
        <v>163</v>
      </c>
      <c r="D3" s="0" t="s">
        <v>10</v>
      </c>
      <c r="E3" s="34" t="s">
        <v>333</v>
      </c>
      <c r="F3" s="34" t="s">
        <v>296</v>
      </c>
      <c r="G3" s="0" t="s">
        <v>334</v>
      </c>
      <c r="H3" s="34" t="s">
        <v>139</v>
      </c>
      <c r="I3" s="34" t="s">
        <v>335</v>
      </c>
      <c r="J3" s="34" t="s">
        <v>155</v>
      </c>
      <c r="K3" s="34" t="s">
        <v>336</v>
      </c>
      <c r="L3" s="0" t="s">
        <v>10</v>
      </c>
      <c r="M3" s="34" t="s">
        <v>81</v>
      </c>
    </row>
    <row r="4" customFormat="false" ht="17.15" hidden="false" customHeight="false" outlineLevel="0" collapsed="false">
      <c r="A4" s="34" t="s">
        <v>337</v>
      </c>
      <c r="B4" s="0" t="s">
        <v>338</v>
      </c>
      <c r="C4" s="34" t="s">
        <v>185</v>
      </c>
      <c r="D4" s="0" t="s">
        <v>13</v>
      </c>
      <c r="E4" s="34" t="s">
        <v>339</v>
      </c>
      <c r="G4" s="0" t="s">
        <v>340</v>
      </c>
      <c r="H4" s="34" t="s">
        <v>341</v>
      </c>
      <c r="J4" s="34" t="s">
        <v>216</v>
      </c>
      <c r="L4" s="0" t="s">
        <v>13</v>
      </c>
      <c r="M4" s="34" t="s">
        <v>75</v>
      </c>
    </row>
    <row r="5" customFormat="false" ht="17.15" hidden="false" customHeight="false" outlineLevel="0" collapsed="false">
      <c r="A5" s="34" t="s">
        <v>342</v>
      </c>
      <c r="B5" s="0" t="s">
        <v>343</v>
      </c>
      <c r="C5" s="34" t="s">
        <v>190</v>
      </c>
      <c r="D5" s="0" t="s">
        <v>17</v>
      </c>
      <c r="E5" s="34" t="s">
        <v>344</v>
      </c>
      <c r="G5" s="0" t="s">
        <v>345</v>
      </c>
      <c r="H5" s="0" t="s">
        <v>43</v>
      </c>
      <c r="J5" s="34" t="s">
        <v>219</v>
      </c>
      <c r="L5" s="0" t="s">
        <v>17</v>
      </c>
      <c r="M5" s="34" t="s">
        <v>120</v>
      </c>
    </row>
    <row r="6" customFormat="false" ht="17.15" hidden="false" customHeight="false" outlineLevel="0" collapsed="false">
      <c r="A6" s="34" t="s">
        <v>126</v>
      </c>
      <c r="B6" s="0" t="s">
        <v>346</v>
      </c>
      <c r="C6" s="34" t="s">
        <v>295</v>
      </c>
      <c r="D6" s="0" t="s">
        <v>21</v>
      </c>
      <c r="E6" s="34" t="s">
        <v>347</v>
      </c>
      <c r="J6" s="34" t="s">
        <v>222</v>
      </c>
      <c r="L6" s="0" t="s">
        <v>21</v>
      </c>
      <c r="M6" s="34" t="s">
        <v>131</v>
      </c>
    </row>
    <row r="7" customFormat="false" ht="17.15" hidden="false" customHeight="false" outlineLevel="0" collapsed="false">
      <c r="A7" s="34" t="s">
        <v>217</v>
      </c>
      <c r="B7" s="0" t="s">
        <v>348</v>
      </c>
      <c r="D7" s="0" t="s">
        <v>24</v>
      </c>
      <c r="J7" s="34" t="s">
        <v>349</v>
      </c>
      <c r="L7" s="0" t="s">
        <v>24</v>
      </c>
      <c r="M7" s="34" t="s">
        <v>115</v>
      </c>
    </row>
    <row r="8" customFormat="false" ht="17.15" hidden="false" customHeight="false" outlineLevel="0" collapsed="false">
      <c r="A8" s="34" t="s">
        <v>350</v>
      </c>
      <c r="B8" s="0" t="s">
        <v>351</v>
      </c>
      <c r="D8" s="0" t="s">
        <v>28</v>
      </c>
      <c r="L8" s="0" t="s">
        <v>28</v>
      </c>
      <c r="M8" s="34" t="s">
        <v>110</v>
      </c>
    </row>
    <row r="9" customFormat="false" ht="17.15" hidden="false" customHeight="false" outlineLevel="0" collapsed="false">
      <c r="A9" s="34" t="s">
        <v>220</v>
      </c>
      <c r="B9" s="0" t="s">
        <v>352</v>
      </c>
      <c r="L9" s="34" t="s">
        <v>353</v>
      </c>
      <c r="M9" s="34" t="s">
        <v>136</v>
      </c>
    </row>
    <row r="10" customFormat="false" ht="17.15" hidden="false" customHeight="false" outlineLevel="0" collapsed="false">
      <c r="A10" s="34" t="s">
        <v>354</v>
      </c>
      <c r="B10" s="0" t="s">
        <v>355</v>
      </c>
      <c r="L10" s="34" t="s">
        <v>191</v>
      </c>
      <c r="M10" s="34" t="s">
        <v>105</v>
      </c>
    </row>
    <row r="11" customFormat="false" ht="17.15" hidden="false" customHeight="false" outlineLevel="0" collapsed="false">
      <c r="A11" s="34" t="s">
        <v>189</v>
      </c>
      <c r="B11" s="0" t="s">
        <v>356</v>
      </c>
      <c r="L11" s="34" t="s">
        <v>357</v>
      </c>
    </row>
    <row r="12" customFormat="false" ht="17.15" hidden="false" customHeight="false" outlineLevel="0" collapsed="false">
      <c r="A12" s="34" t="s">
        <v>358</v>
      </c>
      <c r="B12" s="0" t="s">
        <v>359</v>
      </c>
    </row>
    <row r="13" customFormat="false" ht="17.15" hidden="false" customHeight="false" outlineLevel="0" collapsed="false">
      <c r="A13" s="34" t="s">
        <v>105</v>
      </c>
      <c r="B13" s="0" t="s">
        <v>360</v>
      </c>
    </row>
    <row r="14" customFormat="false" ht="17.15" hidden="false" customHeight="false" outlineLevel="0" collapsed="false">
      <c r="B14" s="0" t="s">
        <v>361</v>
      </c>
    </row>
    <row r="15" customFormat="false" ht="17.15" hidden="false" customHeight="false" outlineLevel="0" collapsed="false">
      <c r="B15" s="0" t="s">
        <v>362</v>
      </c>
    </row>
    <row r="16" customFormat="false" ht="17.15" hidden="false" customHeight="false" outlineLevel="0" collapsed="false">
      <c r="B16" s="0" t="s">
        <v>363</v>
      </c>
    </row>
    <row r="17" customFormat="false" ht="17.15" hidden="false" customHeight="false" outlineLevel="0" collapsed="false">
      <c r="B17" s="0" t="s">
        <v>364</v>
      </c>
    </row>
    <row r="18" customFormat="false" ht="17.15" hidden="false" customHeight="false" outlineLevel="0" collapsed="false">
      <c r="B18" s="0" t="s">
        <v>365</v>
      </c>
    </row>
    <row r="19" customFormat="false" ht="17.15" hidden="false" customHeight="false" outlineLevel="0" collapsed="false">
      <c r="B19" s="0" t="s">
        <v>366</v>
      </c>
    </row>
    <row r="20" customFormat="false" ht="17.15" hidden="false" customHeight="false" outlineLevel="0" collapsed="false">
      <c r="B20" s="0" t="s">
        <v>367</v>
      </c>
    </row>
    <row r="21" customFormat="false" ht="17.15" hidden="false" customHeight="false" outlineLevel="0" collapsed="false">
      <c r="B21" s="0" t="s">
        <v>368</v>
      </c>
    </row>
    <row r="22" customFormat="false" ht="17.15" hidden="false" customHeight="false" outlineLevel="0" collapsed="false">
      <c r="B22" s="0" t="s">
        <v>369</v>
      </c>
    </row>
    <row r="23" customFormat="false" ht="17.15" hidden="false" customHeight="false" outlineLevel="0" collapsed="false">
      <c r="B23" s="0" t="s">
        <v>370</v>
      </c>
    </row>
    <row r="24" customFormat="false" ht="17.15" hidden="false" customHeight="false" outlineLevel="0" collapsed="false">
      <c r="B24" s="0" t="s">
        <v>371</v>
      </c>
    </row>
    <row r="25" customFormat="false" ht="17.15" hidden="false" customHeight="false" outlineLevel="0" collapsed="false">
      <c r="B25" s="0" t="s">
        <v>372</v>
      </c>
    </row>
    <row r="26" customFormat="false" ht="17.15" hidden="false" customHeight="false" outlineLevel="0" collapsed="false">
      <c r="B26" s="0" t="s">
        <v>373</v>
      </c>
    </row>
    <row r="27" customFormat="false" ht="17.15" hidden="false" customHeight="false" outlineLevel="0" collapsed="false">
      <c r="B27" s="0" t="s">
        <v>374</v>
      </c>
    </row>
    <row r="28" customFormat="false" ht="17.15" hidden="false" customHeight="false" outlineLevel="0" collapsed="false">
      <c r="B28" s="0" t="s">
        <v>375</v>
      </c>
    </row>
    <row r="29" customFormat="false" ht="17.15" hidden="false" customHeight="false" outlineLevel="0" collapsed="false">
      <c r="B29" s="0" t="s">
        <v>376</v>
      </c>
    </row>
    <row r="30" customFormat="false" ht="17.15" hidden="false" customHeight="false" outlineLevel="0" collapsed="false">
      <c r="B30" s="0" t="s">
        <v>377</v>
      </c>
    </row>
    <row r="31" customFormat="false" ht="17.15" hidden="false" customHeight="false" outlineLevel="0" collapsed="false">
      <c r="B31" s="0" t="s">
        <v>378</v>
      </c>
    </row>
    <row r="32" customFormat="false" ht="17.15" hidden="false" customHeight="false" outlineLevel="0" collapsed="false">
      <c r="B32" s="0" t="s">
        <v>379</v>
      </c>
    </row>
    <row r="33" customFormat="false" ht="17.15" hidden="false" customHeight="false" outlineLevel="0" collapsed="false">
      <c r="B33" s="0" t="s">
        <v>380</v>
      </c>
    </row>
    <row r="34" customFormat="false" ht="17.15" hidden="false" customHeight="false" outlineLevel="0" collapsed="false">
      <c r="B34" s="0" t="s">
        <v>381</v>
      </c>
    </row>
    <row r="35" customFormat="false" ht="17.15" hidden="false" customHeight="false" outlineLevel="0" collapsed="false">
      <c r="B35" s="0" t="s">
        <v>382</v>
      </c>
    </row>
    <row r="36" customFormat="false" ht="17.15" hidden="false" customHeight="false" outlineLevel="0" collapsed="false">
      <c r="B36" s="0" t="s">
        <v>383</v>
      </c>
    </row>
    <row r="37" customFormat="false" ht="17.15" hidden="false" customHeight="false" outlineLevel="0" collapsed="false">
      <c r="B37" s="0" t="s">
        <v>384</v>
      </c>
    </row>
    <row r="38" customFormat="false" ht="17.15" hidden="false" customHeight="false" outlineLevel="0" collapsed="false">
      <c r="B38" s="0" t="s">
        <v>385</v>
      </c>
    </row>
    <row r="39" customFormat="false" ht="17.15" hidden="false" customHeight="false" outlineLevel="0" collapsed="false">
      <c r="B39" s="0" t="s">
        <v>386</v>
      </c>
    </row>
    <row r="40" customFormat="false" ht="17.15" hidden="false" customHeight="false" outlineLevel="0" collapsed="false">
      <c r="B40" s="0" t="s">
        <v>387</v>
      </c>
    </row>
    <row r="41" customFormat="false" ht="17.15" hidden="false" customHeight="false" outlineLevel="0" collapsed="false">
      <c r="B41" s="0" t="s">
        <v>388</v>
      </c>
    </row>
    <row r="42" customFormat="false" ht="17.15" hidden="false" customHeight="false" outlineLevel="0" collapsed="false">
      <c r="B42" s="0" t="s">
        <v>389</v>
      </c>
    </row>
    <row r="43" customFormat="false" ht="17.15" hidden="false" customHeight="false" outlineLevel="0" collapsed="false">
      <c r="B43" s="0" t="s">
        <v>390</v>
      </c>
    </row>
    <row r="44" customFormat="false" ht="17.15" hidden="false" customHeight="false" outlineLevel="0" collapsed="false">
      <c r="B44" s="0" t="s">
        <v>391</v>
      </c>
    </row>
    <row r="45" customFormat="false" ht="17.15" hidden="false" customHeight="false" outlineLevel="0" collapsed="false">
      <c r="B45" s="0" t="s">
        <v>392</v>
      </c>
    </row>
    <row r="46" customFormat="false" ht="17.15" hidden="false" customHeight="false" outlineLevel="0" collapsed="false">
      <c r="B46" s="0" t="s">
        <v>393</v>
      </c>
    </row>
    <row r="47" customFormat="false" ht="17.15" hidden="false" customHeight="false" outlineLevel="0" collapsed="false">
      <c r="B47" s="0" t="s">
        <v>394</v>
      </c>
    </row>
    <row r="48" customFormat="false" ht="17.15" hidden="false" customHeight="false" outlineLevel="0" collapsed="false">
      <c r="B48" s="0" t="s">
        <v>395</v>
      </c>
    </row>
    <row r="49" customFormat="false" ht="17.15" hidden="false" customHeight="false" outlineLevel="0" collapsed="false">
      <c r="B49" s="0" t="s">
        <v>396</v>
      </c>
    </row>
    <row r="50" customFormat="false" ht="17.15" hidden="false" customHeight="false" outlineLevel="0" collapsed="false">
      <c r="B50" s="0" t="s">
        <v>397</v>
      </c>
    </row>
    <row r="51" customFormat="false" ht="17.15" hidden="false" customHeight="false" outlineLevel="0" collapsed="false">
      <c r="B51" s="0" t="s">
        <v>398</v>
      </c>
    </row>
    <row r="52" customFormat="false" ht="17.15" hidden="false" customHeight="false" outlineLevel="0" collapsed="false">
      <c r="B52" s="0" t="s">
        <v>399</v>
      </c>
    </row>
    <row r="53" customFormat="false" ht="17.15" hidden="false" customHeight="false" outlineLevel="0" collapsed="false">
      <c r="B53" s="0" t="s">
        <v>400</v>
      </c>
    </row>
    <row r="54" customFormat="false" ht="17.15" hidden="false" customHeight="false" outlineLevel="0" collapsed="false">
      <c r="B54" s="0" t="s">
        <v>401</v>
      </c>
    </row>
    <row r="55" customFormat="false" ht="17.15" hidden="false" customHeight="false" outlineLevel="0" collapsed="false">
      <c r="B55" s="0" t="s">
        <v>402</v>
      </c>
    </row>
    <row r="56" customFormat="false" ht="17.15" hidden="false" customHeight="false" outlineLevel="0" collapsed="false">
      <c r="B56" s="0" t="s">
        <v>403</v>
      </c>
    </row>
    <row r="57" customFormat="false" ht="17.15" hidden="false" customHeight="false" outlineLevel="0" collapsed="false">
      <c r="B57" s="0" t="s">
        <v>404</v>
      </c>
    </row>
    <row r="58" customFormat="false" ht="17.15" hidden="false" customHeight="false" outlineLevel="0" collapsed="false">
      <c r="B58" s="0" t="s">
        <v>405</v>
      </c>
    </row>
    <row r="59" customFormat="false" ht="17.15" hidden="false" customHeight="false" outlineLevel="0" collapsed="false">
      <c r="B59" s="0" t="s">
        <v>406</v>
      </c>
    </row>
    <row r="60" customFormat="false" ht="17.15" hidden="false" customHeight="false" outlineLevel="0" collapsed="false">
      <c r="B60" s="0" t="s">
        <v>407</v>
      </c>
    </row>
    <row r="61" customFormat="false" ht="17.15" hidden="false" customHeight="false" outlineLevel="0" collapsed="false">
      <c r="B61" s="0" t="s">
        <v>408</v>
      </c>
    </row>
    <row r="62" customFormat="false" ht="17.15" hidden="false" customHeight="false" outlineLevel="0" collapsed="false">
      <c r="B62" s="0" t="s">
        <v>409</v>
      </c>
    </row>
    <row r="63" customFormat="false" ht="17.15" hidden="false" customHeight="false" outlineLevel="0" collapsed="false">
      <c r="B63" s="0" t="s">
        <v>410</v>
      </c>
    </row>
    <row r="64" customFormat="false" ht="17.15" hidden="false" customHeight="false" outlineLevel="0" collapsed="false">
      <c r="B64" s="0" t="s">
        <v>411</v>
      </c>
    </row>
    <row r="65" customFormat="false" ht="17.15" hidden="false" customHeight="false" outlineLevel="0" collapsed="false">
      <c r="B65" s="0" t="s">
        <v>412</v>
      </c>
    </row>
    <row r="66" customFormat="false" ht="17.15" hidden="false" customHeight="false" outlineLevel="0" collapsed="false">
      <c r="B66" s="0" t="s">
        <v>413</v>
      </c>
    </row>
    <row r="67" customFormat="false" ht="17.15" hidden="false" customHeight="false" outlineLevel="0" collapsed="false">
      <c r="B67" s="0" t="s">
        <v>414</v>
      </c>
    </row>
    <row r="68" customFormat="false" ht="17.15" hidden="false" customHeight="false" outlineLevel="0" collapsed="false">
      <c r="B68" s="0" t="s">
        <v>415</v>
      </c>
    </row>
    <row r="69" customFormat="false" ht="17.15" hidden="false" customHeight="false" outlineLevel="0" collapsed="false">
      <c r="B69" s="0" t="s">
        <v>416</v>
      </c>
    </row>
    <row r="70" customFormat="false" ht="17.15" hidden="false" customHeight="false" outlineLevel="0" collapsed="false">
      <c r="B70" s="0" t="s">
        <v>417</v>
      </c>
    </row>
    <row r="71" customFormat="false" ht="17.15" hidden="false" customHeight="false" outlineLevel="0" collapsed="false">
      <c r="B71" s="0" t="s">
        <v>418</v>
      </c>
    </row>
    <row r="72" customFormat="false" ht="17.15" hidden="false" customHeight="false" outlineLevel="0" collapsed="false">
      <c r="B72" s="0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2026-10-21T01:18:12Z</dcterms:created>
  <dc:creator>openpyxl</dc:creator>
  <dc:description/>
  <dc:language>en-US</dc:language>
  <cp:lastModifiedBy/>
  <dcterms:modified xsi:type="dcterms:W3CDTF">2026-10-21T01:18:12Z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