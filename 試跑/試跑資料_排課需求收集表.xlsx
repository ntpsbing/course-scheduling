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規則表" sheetId="2" state="visible" r:id="rId2"/>
    <sheet xmlns:r="http://schemas.openxmlformats.org/officeDocument/2006/relationships" name="科任配課" sheetId="3" state="visible" r:id="rId3"/>
    <sheet xmlns:r="http://schemas.openxmlformats.org/officeDocument/2006/relationships" name="本土語預排" sheetId="4" state="visible" r:id="rId4"/>
    <sheet xmlns:r="http://schemas.openxmlformats.org/officeDocument/2006/relationships" name="特教抽離" sheetId="5" state="visible" r:id="rId5"/>
    <sheet xmlns:r="http://schemas.openxmlformats.org/officeDocument/2006/relationships" name="共同時段" sheetId="6" state="visible" r:id="rId6"/>
    <sheet xmlns:r="http://schemas.openxmlformats.org/officeDocument/2006/relationships" name="職務限制" sheetId="7" state="visible" r:id="rId7"/>
    <sheet xmlns:r="http://schemas.openxmlformats.org/officeDocument/2006/relationships" name="班級教室" sheetId="8" state="visible" r:id="rId8"/>
    <sheet xmlns:r="http://schemas.openxmlformats.org/officeDocument/2006/relationships" name="老師需求" sheetId="9" state="visible" r:id="rId9"/>
    <sheet xmlns:r="http://schemas.openxmlformats.org/officeDocument/2006/relationships" name="老師需求單" sheetId="10" state="visible" r:id="rId10"/>
    <sheet xmlns:r="http://schemas.openxmlformats.org/officeDocument/2006/relationships" name="節數檢核" sheetId="11" state="visible" r:id="rId11"/>
    <sheet xmlns:r="http://schemas.openxmlformats.org/officeDocument/2006/relationships" name="選項" sheetId="12" state="hidden" r:id="rId12"/>
  </sheets>
  <definedNames>
    <definedName name="_xlnm.Print_Titles" localSheetId="1">'規則表'!$3:$3</definedName>
    <definedName name="_xlnm.Print_Titles" localSheetId="2">'科任配課'!$3:$3</definedName>
    <definedName name="_xlnm.Print_Titles" localSheetId="3">'本土語預排'!$3:$3</definedName>
    <definedName name="_xlnm.Print_Titles" localSheetId="4">'特教抽離'!$3:$3</definedName>
    <definedName name="_xlnm.Print_Titles" localSheetId="5">'共同時段'!$3:$3</definedName>
    <definedName name="_xlnm.Print_Titles" localSheetId="6">'職務限制'!$3:$3</definedName>
    <definedName name="_xlnm.Print_Titles" localSheetId="7">'班級教室'!$3:$3</definedName>
    <definedName name="_xlnm.Print_Titles" localSheetId="8">'老師需求'!$3:$3</definedName>
    <definedName name="_xlnm.Print_Titles" localSheetId="10">'節數檢核'!$3:$3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000000"/>
      <sz val="18"/>
    </font>
    <font>
      <name val="微軟正黑體"/>
      <charset val="1"/>
      <family val="0"/>
      <b val="1"/>
      <color rgb="FF000000"/>
      <sz val="18"/>
    </font>
    <font>
      <name val="Noto Sans CJK SC"/>
      <family val="2"/>
      <color rgb="FF000000"/>
      <sz val="11"/>
    </font>
    <font>
      <name val="Noto Sans CJK SC"/>
      <family val="2"/>
      <b val="1"/>
      <color rgb="FFFFFFFF"/>
      <sz val="11"/>
    </font>
    <font>
      <name val="微軟正黑體"/>
      <charset val="1"/>
      <family val="0"/>
      <color rgb="FF000000"/>
      <sz val="11"/>
    </font>
    <font>
      <name val="Noto Sans CJK SC"/>
      <family val="2"/>
      <b val="1"/>
      <color rgb="FF000000"/>
      <sz val="13"/>
    </font>
    <font>
      <name val="Noto Sans CJK SC"/>
      <family val="2"/>
      <b val="1"/>
      <color rgb="FF595959"/>
      <sz val="11"/>
    </font>
    <font>
      <name val="Noto Sans CJK SC"/>
      <family val="2"/>
      <b val="1"/>
      <color rgb="FF000000"/>
      <sz val="11"/>
    </font>
    <font>
      <name val="微軟正黑體"/>
      <charset val="1"/>
      <family val="0"/>
      <b val="1"/>
      <color rgb="FF000000"/>
      <sz val="16"/>
    </font>
    <font>
      <name val="Noto Sans CJK SC"/>
      <family val="2"/>
      <b val="1"/>
      <color rgb="FF000000"/>
      <sz val="16"/>
    </font>
    <font>
      <name val="Noto Sans CJK SC"/>
      <family val="2"/>
      <color rgb="FF404040"/>
      <sz val="10"/>
    </font>
    <font>
      <name val="微軟正黑體"/>
      <charset val="1"/>
      <family val="0"/>
      <color rgb="FF404040"/>
      <sz val="10"/>
    </font>
    <font>
      <name val="Noto Sans CJK SC"/>
      <family val="2"/>
      <i val="1"/>
      <color rgb="FF595959"/>
      <sz val="10"/>
    </font>
    <font>
      <name val="微軟正黑體"/>
      <charset val="1"/>
      <family val="0"/>
      <i val="1"/>
      <color rgb="FF595959"/>
      <sz val="10"/>
    </font>
    <font>
      <name val="微軟正黑體"/>
      <charset val="1"/>
      <family val="0"/>
      <b val="1"/>
      <color rgb="FF000000"/>
      <sz val="11"/>
    </font>
    <font>
      <name val="Noto Sans CJK SC"/>
      <family val="2"/>
      <color rgb="FF000000"/>
      <sz val="13"/>
    </font>
    <font>
      <name val="Noto Sans CJK SC"/>
      <family val="2"/>
      <color rgb="FF000000"/>
      <sz val="12"/>
    </font>
    <font>
      <name val="微軟正黑體"/>
      <charset val="1"/>
      <family val="0"/>
      <color rgb="FF000000"/>
      <sz val="12"/>
    </font>
    <font>
      <name val="Noto Sans CJK SC"/>
      <family val="2"/>
      <b val="1"/>
      <color rgb="FFFFFFFF"/>
      <sz val="13"/>
    </font>
    <font>
      <name val="微軟正黑體"/>
      <charset val="1"/>
      <family val="0"/>
      <b val="1"/>
      <color rgb="FF000000"/>
      <sz val="13"/>
    </font>
    <font>
      <name val="Noto Sans CJK SC"/>
      <family val="2"/>
      <color rgb="FF595959"/>
      <sz val="10"/>
    </font>
    <font>
      <name val="Noto Sans CJK SC"/>
      <family val="2"/>
      <b val="1"/>
      <color rgb="FF000000"/>
      <sz val="12"/>
    </font>
    <font>
      <name val="Noto Sans CJK SC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general" vertical="bottom"/>
    </xf>
    <xf numFmtId="0" fontId="0" fillId="0" borderId="2" pivotButton="0" quotePrefix="0" xfId="0"/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D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35" min="1" max="1"/>
    <col width="22" customWidth="1" style="35" min="2" max="2"/>
    <col width="44" customWidth="1" style="35" min="3" max="3"/>
    <col width="20" customWidth="1" style="35" min="4" max="4"/>
  </cols>
  <sheetData>
    <row r="1" ht="27.6" customHeight="1" s="36">
      <c r="A1" s="37" t="inlineStr">
        <is>
          <t>高雄市楠梓國小 115 學年度　排課需求收集表</t>
        </is>
      </c>
    </row>
    <row r="2" ht="33.75" customHeight="1" s="36">
      <c r="A2" s="38" t="inlineStr">
        <is>
          <t>用途：收集排課所需資料，填好後直接匯入排課系統。系統只排科任課，排完後剩下的節次由導師自己排。</t>
        </is>
      </c>
    </row>
    <row r="4" ht="17.15" customHeight="1" s="36">
      <c r="A4" s="39" t="inlineStr">
        <is>
          <t>頁</t>
        </is>
      </c>
      <c r="B4" s="39" t="inlineStr">
        <is>
          <t>工作表</t>
        </is>
      </c>
      <c r="C4" s="39" t="inlineStr">
        <is>
          <t>填什麼</t>
        </is>
      </c>
      <c r="D4" s="39" t="inlineStr">
        <is>
          <t>誰來填</t>
        </is>
      </c>
    </row>
    <row r="5" ht="31.5" customHeight="1" s="36">
      <c r="A5" s="40" t="inlineStr">
        <is>
          <t>1</t>
        </is>
      </c>
      <c r="B5" s="41" t="inlineStr">
        <is>
          <t>規則表</t>
        </is>
      </c>
      <c r="C5" s="42" t="inlineStr">
        <is>
          <t>全部排課規則，一列一條。要新增規則就加一列；暫停就把「啟用」改成「否」</t>
        </is>
      </c>
      <c r="D5" s="41" t="inlineStr">
        <is>
          <t>教學組長</t>
        </is>
      </c>
    </row>
    <row r="6" ht="31.5" customHeight="1" s="36">
      <c r="A6" s="40" t="inlineStr">
        <is>
          <t>2</t>
        </is>
      </c>
      <c r="B6" s="41" t="inlineStr">
        <is>
          <t>科任配課</t>
        </is>
      </c>
      <c r="C6" s="42" t="inlineStr">
        <is>
          <t>哪位科任老師教哪一班、什麼科目、每週幾節、在哪裡上</t>
        </is>
      </c>
      <c r="D6" s="41" t="inlineStr">
        <is>
          <t>教學組長</t>
        </is>
      </c>
    </row>
    <row r="7" ht="31.5" customHeight="1" s="36">
      <c r="A7" s="40" t="inlineStr">
        <is>
          <t>3</t>
        </is>
      </c>
      <c r="B7" s="41" t="inlineStr">
        <is>
          <t>本土語預排</t>
        </is>
      </c>
      <c r="C7" s="42" t="inlineStr">
        <is>
          <t>學校已排好的本土語時段（系統直接鎖定）</t>
        </is>
      </c>
      <c r="D7" s="41" t="inlineStr">
        <is>
          <t>本土語承辦人</t>
        </is>
      </c>
    </row>
    <row r="8" ht="31.5" customHeight="1" s="36">
      <c r="A8" s="40" t="inlineStr">
        <is>
          <t>4</t>
        </is>
      </c>
      <c r="B8" s="41" t="inlineStr">
        <is>
          <t>特教抽離</t>
        </is>
      </c>
      <c r="C8" s="42" t="inlineStr">
        <is>
          <t>抽離／集中式特教的班級、節次、抽離科目（不填學生姓名）</t>
        </is>
      </c>
      <c r="D8" s="41" t="inlineStr">
        <is>
          <t>特教承辦人</t>
        </is>
      </c>
    </row>
    <row r="9" ht="31.5" customHeight="1" s="36">
      <c r="A9" s="40" t="inlineStr">
        <is>
          <t>5</t>
        </is>
      </c>
      <c r="B9" s="41" t="inlineStr">
        <is>
          <t>共同時段</t>
        </is>
      </c>
      <c r="C9" s="42" t="inlineStr">
        <is>
          <t>學校共同課、年段共同時段、綠色迪士尼、低年級下午不上課</t>
        </is>
      </c>
      <c r="D9" s="41" t="inlineStr">
        <is>
          <t>教學組長</t>
        </is>
      </c>
    </row>
    <row r="10" ht="31.5" customHeight="1" s="36">
      <c r="A10" s="40" t="inlineStr">
        <is>
          <t>6</t>
        </is>
      </c>
      <c r="B10" s="41" t="inlineStr">
        <is>
          <t>職務限制</t>
        </is>
      </c>
      <c r="C10" s="42" t="inlineStr">
        <is>
          <t>教育局規定的職務不排時段＋擔任這些職務的老師名單（最優先處理）</t>
        </is>
      </c>
      <c r="D10" s="41" t="inlineStr">
        <is>
          <t>教學組長／人事</t>
        </is>
      </c>
    </row>
    <row r="11" ht="31.5" customHeight="1" s="36">
      <c r="A11" s="40" t="inlineStr">
        <is>
          <t>7</t>
        </is>
      </c>
      <c r="B11" s="41" t="inlineStr">
        <is>
          <t>班級教室</t>
        </is>
      </c>
      <c r="C11" s="42" t="inlineStr">
        <is>
          <t>每班教室位置（計算跑班距離）與專科教室間數</t>
        </is>
      </c>
      <c r="D11" s="41" t="inlineStr">
        <is>
          <t>教學組長／總務</t>
        </is>
      </c>
    </row>
    <row r="12" ht="31.5" customHeight="1" s="36">
      <c r="A12" s="40" t="inlineStr">
        <is>
          <t>8</t>
        </is>
      </c>
      <c r="B12" s="41" t="inlineStr">
        <is>
          <t>老師需求</t>
        </is>
      </c>
      <c r="C12" s="42" t="inlineStr">
        <is>
          <t>老師不想被排的時段與特殊要求</t>
        </is>
      </c>
      <c r="D12" s="41" t="inlineStr">
        <is>
          <t>教學組長彙整</t>
        </is>
      </c>
    </row>
    <row r="13" ht="31.5" customHeight="1" s="36">
      <c r="A13" s="40" t="inlineStr">
        <is>
          <t>9</t>
        </is>
      </c>
      <c r="B13" s="41" t="inlineStr">
        <is>
          <t>老師需求單</t>
        </is>
      </c>
      <c r="C13" s="42" t="inlineStr">
        <is>
          <t>列印發給老師填寫的紙本（灰階，一人一張）</t>
        </is>
      </c>
      <c r="D13" s="41" t="inlineStr">
        <is>
          <t>科任老師</t>
        </is>
      </c>
    </row>
    <row r="14" ht="31.5" customHeight="1" s="36">
      <c r="A14" s="40" t="inlineStr">
        <is>
          <t>10</t>
        </is>
      </c>
      <c r="B14" s="41" t="inlineStr">
        <is>
          <t>節數檢核</t>
        </is>
      </c>
      <c r="C14" s="42" t="inlineStr">
        <is>
          <t>自動計算，不用填：每班科任節數、本土語節數</t>
        </is>
      </c>
      <c r="D14" s="40" t="inlineStr">
        <is>
          <t>—</t>
        </is>
      </c>
    </row>
    <row r="16" ht="16.15" customHeight="1" s="36">
      <c r="A16" s="43" t="inlineStr">
        <is>
          <t>填寫方式</t>
        </is>
      </c>
    </row>
    <row r="17" ht="17.15" customHeight="1" s="36">
      <c r="B17" s="44" t="inlineStr">
        <is>
          <t>淺灰底格子</t>
        </is>
      </c>
      <c r="C17" s="38" t="inlineStr">
        <is>
          <t>請填寫（多數欄位有下拉選單，點格子右邊的小箭頭選）</t>
        </is>
      </c>
    </row>
    <row r="18" ht="17.15" customHeight="1" s="36">
      <c r="B18" s="45" t="inlineStr">
        <is>
          <t>斜體灰字列</t>
        </is>
      </c>
      <c r="C18" s="38" t="inlineStr">
        <is>
          <t>範例，看完可以刪除，或直接覆蓋</t>
        </is>
      </c>
    </row>
    <row r="19" ht="17.15" customHeight="1" s="36">
      <c r="B19" s="46" t="inlineStr">
        <is>
          <t>深灰底格子</t>
        </is>
      </c>
      <c r="C19" s="38" t="inlineStr">
        <is>
          <t>已鎖定的內容（不用改）</t>
        </is>
      </c>
    </row>
    <row r="21" ht="16.15" customHeight="1" s="36">
      <c r="A21" s="43" t="inlineStr">
        <is>
          <t>老師需求的填寫原則</t>
        </is>
      </c>
    </row>
    <row r="22" ht="17.15" customHeight="1" s="36">
      <c r="A22" s="38" t="inlineStr">
        <is>
          <t>・每位老師「必須」最多 3 節（職務規定的不排時段另計，不佔名額），其餘請勾「希望」</t>
        </is>
      </c>
    </row>
    <row r="23" ht="17.15" customHeight="1" s="36">
      <c r="A23" s="38" t="inlineStr">
        <is>
          <t>・「必須」＝絕對不能排；「希望」＝盡量不排，但必要時可能會排</t>
        </is>
      </c>
    </row>
    <row r="24" ht="17.15" customHeight="1" s="36">
      <c r="A24" s="38" t="inlineStr">
        <is>
          <t>・第七節不排正課（國、數、英、社、自）；第七節可排體育、音樂、美勞、綜合、彈性</t>
        </is>
      </c>
    </row>
    <row r="25" ht="17.15" customHeight="1" s="36">
      <c r="A25" s="38" t="inlineStr">
        <is>
          <t>・大下課、午休算休息；科任每天盡量 6 節以下</t>
        </is>
      </c>
    </row>
    <row r="27" ht="15" customHeight="1" s="36">
      <c r="A27" s="47" t="inlineStr">
        <is>
          <t>填寫期限：＿＿＿＿年＿＿月＿＿日　　承辦：教學組</t>
        </is>
      </c>
    </row>
  </sheetData>
  <mergeCells count="9">
    <mergeCell ref="A1:D1"/>
    <mergeCell ref="A23:D23"/>
    <mergeCell ref="A22:D22"/>
    <mergeCell ref="C19:D19"/>
    <mergeCell ref="A25:D25"/>
    <mergeCell ref="A24:D24"/>
    <mergeCell ref="A2:D2"/>
    <mergeCell ref="C18:D18"/>
    <mergeCell ref="C17:D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35" min="1" max="1"/>
    <col width="10" customWidth="1" style="35" min="2" max="2"/>
    <col width="14" customWidth="1" style="35" min="3" max="3"/>
    <col width="18" customWidth="1" style="35" min="4" max="4"/>
    <col width="46" customWidth="1" style="35" min="5" max="5"/>
    <col width="8" customWidth="1" style="35" min="6" max="6"/>
    <col width="7" customWidth="1" style="35" min="7" max="7"/>
    <col width="22" customWidth="1" style="35" min="8" max="8"/>
  </cols>
  <sheetData>
    <row r="1" ht="27.75" customHeight="1" s="36">
      <c r="A1" s="48" t="inlineStr">
        <is>
          <t>1. 規則表（一列一條規則）</t>
        </is>
      </c>
    </row>
    <row r="2" ht="36" customHeight="1" s="36">
      <c r="A2" s="49" t="inlineStr">
        <is>
          <t>層級：0 法規＝教育局／教育部規定，最優先、不能違反；1 鎖定＝先鎖住不動；2 必須＝不能違反；3 盡量＝盡量做到（重要度高／中／低）。要新增規則就往下加一列；暫停規則把「啟用」改成「否」。「原因」欄給下一任承辦人看。</t>
        </is>
      </c>
    </row>
    <row r="3" ht="17.15" customHeight="1" s="36">
      <c r="A3" s="39" t="inlineStr">
        <is>
          <t>編號</t>
        </is>
      </c>
      <c r="B3" s="39" t="inlineStr">
        <is>
          <t>層級</t>
        </is>
      </c>
      <c r="C3" s="39" t="inlineStr">
        <is>
          <t>規則積木</t>
        </is>
      </c>
      <c r="D3" s="39" t="inlineStr">
        <is>
          <t>對象</t>
        </is>
      </c>
      <c r="E3" s="39" t="inlineStr">
        <is>
          <t>內容</t>
        </is>
      </c>
      <c r="F3" s="39" t="inlineStr">
        <is>
          <t>重要度</t>
        </is>
      </c>
      <c r="G3" s="39" t="inlineStr">
        <is>
          <t>啟用</t>
        </is>
      </c>
      <c r="H3" s="39" t="inlineStr">
        <is>
          <t>原因</t>
        </is>
      </c>
    </row>
    <row r="4" ht="30" customHeight="1" s="36">
      <c r="A4" s="50" t="inlineStr">
        <is>
          <t>R01</t>
        </is>
      </c>
      <c r="B4" s="50" t="inlineStr">
        <is>
          <t>0 法規</t>
        </is>
      </c>
      <c r="C4" s="46" t="inlineStr">
        <is>
          <t>職務不排時段</t>
        </is>
      </c>
      <c r="D4" s="46" t="inlineStr">
        <is>
          <t>依職務</t>
        </is>
      </c>
      <c r="E4" s="51" t="inlineStr">
        <is>
          <t>擔任特定職務的老師不排指定時段（依「職務限制」頁）</t>
        </is>
      </c>
      <c r="F4" s="50" t="inlineStr">
        <is>
          <t>—</t>
        </is>
      </c>
      <c r="G4" s="46" t="inlineStr">
        <is>
          <t>是</t>
        </is>
      </c>
      <c r="H4" s="51" t="inlineStr">
        <is>
          <t>教育局規定</t>
        </is>
      </c>
    </row>
    <row r="5" ht="30" customHeight="1" s="36">
      <c r="A5" s="50" t="inlineStr">
        <is>
          <t>R02</t>
        </is>
      </c>
      <c r="B5" s="50" t="inlineStr">
        <is>
          <t>0 法規</t>
        </is>
      </c>
      <c r="C5" s="46" t="inlineStr">
        <is>
          <t>科目不排時段</t>
        </is>
      </c>
      <c r="D5" s="46" t="inlineStr">
        <is>
          <t>國、數、英、社、自</t>
        </is>
      </c>
      <c r="E5" s="51" t="inlineStr">
        <is>
          <t>不排第7節</t>
        </is>
      </c>
      <c r="F5" s="50" t="inlineStr">
        <is>
          <t>—</t>
        </is>
      </c>
      <c r="G5" s="46" t="inlineStr">
        <is>
          <t>是</t>
        </is>
      </c>
      <c r="H5" s="51" t="inlineStr">
        <is>
          <t>教育部規定</t>
        </is>
      </c>
    </row>
    <row r="6" ht="30" customHeight="1" s="36">
      <c r="A6" s="50" t="inlineStr">
        <is>
          <t>R03</t>
        </is>
      </c>
      <c r="B6" s="50" t="inlineStr">
        <is>
          <t>1 鎖定</t>
        </is>
      </c>
      <c r="C6" s="46" t="inlineStr">
        <is>
          <t>鎖定時段</t>
        </is>
      </c>
      <c r="D6" s="46" t="inlineStr">
        <is>
          <t>本土語</t>
        </is>
      </c>
      <c r="E6" s="51" t="inlineStr">
        <is>
          <t>依「本土語預排」頁</t>
        </is>
      </c>
      <c r="F6" s="50" t="inlineStr">
        <is>
          <t>—</t>
        </is>
      </c>
      <c r="G6" s="46" t="inlineStr">
        <is>
          <t>是</t>
        </is>
      </c>
      <c r="H6" s="51" t="inlineStr">
        <is>
          <t>學校預先排好</t>
        </is>
      </c>
    </row>
    <row r="7" ht="30" customHeight="1" s="36">
      <c r="A7" s="50" t="inlineStr">
        <is>
          <t>R04</t>
        </is>
      </c>
      <c r="B7" s="50" t="inlineStr">
        <is>
          <t>1 鎖定</t>
        </is>
      </c>
      <c r="C7" s="46" t="inlineStr">
        <is>
          <t>鎖定時段</t>
        </is>
      </c>
      <c r="D7" s="46" t="inlineStr">
        <is>
          <t>特教抽離</t>
        </is>
      </c>
      <c r="E7" s="51" t="inlineStr">
        <is>
          <t>依「特教抽離」頁；原班該節由導師上被抽的科目</t>
        </is>
      </c>
      <c r="F7" s="50" t="inlineStr">
        <is>
          <t>—</t>
        </is>
      </c>
      <c r="G7" s="46" t="inlineStr">
        <is>
          <t>是</t>
        </is>
      </c>
      <c r="H7" s="51" t="inlineStr">
        <is>
          <t>學生抽離時原班要上同科目</t>
        </is>
      </c>
    </row>
    <row r="8" ht="30" customHeight="1" s="36">
      <c r="A8" s="50" t="inlineStr">
        <is>
          <t>R05</t>
        </is>
      </c>
      <c r="B8" s="50" t="inlineStr">
        <is>
          <t>1 鎖定</t>
        </is>
      </c>
      <c r="C8" s="46" t="inlineStr">
        <is>
          <t>鎖定時段</t>
        </is>
      </c>
      <c r="D8" s="46" t="inlineStr">
        <is>
          <t>三、四年級</t>
        </is>
      </c>
      <c r="E8" s="51" t="inlineStr">
        <is>
          <t>星期一 第5–7節　綜合（導師上）</t>
        </is>
      </c>
      <c r="F8" s="50" t="inlineStr">
        <is>
          <t>—</t>
        </is>
      </c>
      <c r="G8" s="46" t="inlineStr">
        <is>
          <t>是</t>
        </is>
      </c>
      <c r="H8" s="51" t="inlineStr">
        <is>
          <t>年段共同時段</t>
        </is>
      </c>
    </row>
    <row r="9" ht="30" customHeight="1" s="36">
      <c r="A9" s="50" t="inlineStr">
        <is>
          <t>R06</t>
        </is>
      </c>
      <c r="B9" s="50" t="inlineStr">
        <is>
          <t>1 鎖定</t>
        </is>
      </c>
      <c r="C9" s="46" t="inlineStr">
        <is>
          <t>鎖定時段</t>
        </is>
      </c>
      <c r="D9" s="46" t="inlineStr">
        <is>
          <t>五、六年級</t>
        </is>
      </c>
      <c r="E9" s="51" t="inlineStr">
        <is>
          <t>星期四 第5–7節　綜合（導師上）</t>
        </is>
      </c>
      <c r="F9" s="50" t="inlineStr">
        <is>
          <t>—</t>
        </is>
      </c>
      <c r="G9" s="46" t="inlineStr">
        <is>
          <t>是</t>
        </is>
      </c>
      <c r="H9" s="51" t="inlineStr">
        <is>
          <t>年段共同時段</t>
        </is>
      </c>
    </row>
    <row r="10" ht="30" customHeight="1" s="36">
      <c r="A10" s="50" t="inlineStr">
        <is>
          <t>R07</t>
        </is>
      </c>
      <c r="B10" s="50" t="inlineStr">
        <is>
          <t>1 鎖定</t>
        </is>
      </c>
      <c r="C10" s="46" t="inlineStr">
        <is>
          <t>鎖定時段</t>
        </is>
      </c>
      <c r="D10" s="46" t="inlineStr">
        <is>
          <t>全校</t>
        </is>
      </c>
      <c r="E10" s="51" t="inlineStr">
        <is>
          <t>星期三 第1節　綠色迪士尼（導師上）</t>
        </is>
      </c>
      <c r="F10" s="50" t="inlineStr">
        <is>
          <t>—</t>
        </is>
      </c>
      <c r="G10" s="46" t="inlineStr">
        <is>
          <t>是</t>
        </is>
      </c>
      <c r="H10" s="51" t="inlineStr">
        <is>
          <t>學校共同時段</t>
        </is>
      </c>
    </row>
    <row r="11" ht="30" customHeight="1" s="36">
      <c r="A11" s="50" t="inlineStr">
        <is>
          <t>R08</t>
        </is>
      </c>
      <c r="B11" s="50" t="inlineStr">
        <is>
          <t>1 鎖定</t>
        </is>
      </c>
      <c r="C11" s="46" t="inlineStr">
        <is>
          <t>鎖定時段</t>
        </is>
      </c>
      <c r="D11" s="46" t="inlineStr">
        <is>
          <t>一、二年級</t>
        </is>
      </c>
      <c r="E11" s="51" t="inlineStr">
        <is>
          <t>下午不上課的日子（依「共同時段」頁）</t>
        </is>
      </c>
      <c r="F11" s="50" t="inlineStr">
        <is>
          <t>—</t>
        </is>
      </c>
      <c r="G11" s="46" t="inlineStr">
        <is>
          <t>是</t>
        </is>
      </c>
      <c r="H11" s="51" t="inlineStr">
        <is>
          <t>沿用目前作息</t>
        </is>
      </c>
    </row>
    <row r="12" ht="30" customHeight="1" s="36">
      <c r="A12" s="52" t="inlineStr">
        <is>
          <t>R09</t>
        </is>
      </c>
      <c r="B12" s="52" t="inlineStr">
        <is>
          <t>2 必須</t>
        </is>
      </c>
      <c r="C12" s="44" t="inlineStr">
        <is>
          <t>其他</t>
        </is>
      </c>
      <c r="D12" s="44" t="inlineStr">
        <is>
          <t>所有老師</t>
        </is>
      </c>
      <c r="E12" s="53" t="inlineStr">
        <is>
          <t>同一位老師同一節只能在一個班</t>
        </is>
      </c>
      <c r="F12" s="52" t="inlineStr">
        <is>
          <t>—</t>
        </is>
      </c>
      <c r="G12" s="44" t="inlineStr">
        <is>
          <t>是</t>
        </is>
      </c>
      <c r="H12" s="53" t="inlineStr">
        <is>
          <t>基本規則</t>
        </is>
      </c>
    </row>
    <row r="13" ht="30" customHeight="1" s="36">
      <c r="A13" s="52" t="inlineStr">
        <is>
          <t>R10</t>
        </is>
      </c>
      <c r="B13" s="52" t="inlineStr">
        <is>
          <t>2 必須</t>
        </is>
      </c>
      <c r="C13" s="44" t="inlineStr">
        <is>
          <t>教室容量</t>
        </is>
      </c>
      <c r="D13" s="44" t="inlineStr">
        <is>
          <t>專科教室</t>
        </is>
      </c>
      <c r="E13" s="53" t="inlineStr">
        <is>
          <t>同一節使用班數不超過教室間數（電腦教室 2 間）</t>
        </is>
      </c>
      <c r="F13" s="52" t="inlineStr">
        <is>
          <t>—</t>
        </is>
      </c>
      <c r="G13" s="44" t="inlineStr">
        <is>
          <t>是</t>
        </is>
      </c>
      <c r="H13" s="53" t="inlineStr">
        <is>
          <t>避免教室重複</t>
        </is>
      </c>
    </row>
    <row r="14" ht="30" customHeight="1" s="36">
      <c r="A14" s="52" t="inlineStr">
        <is>
          <t>R11</t>
        </is>
      </c>
      <c r="B14" s="52" t="inlineStr">
        <is>
          <t>2 必須</t>
        </is>
      </c>
      <c r="C14" s="44" t="inlineStr">
        <is>
          <t>連堂</t>
        </is>
      </c>
      <c r="D14" s="44" t="inlineStr">
        <is>
          <t>自然</t>
        </is>
      </c>
      <c r="E14" s="53" t="inlineStr">
        <is>
          <t>每班每週3節：2節連堂在自然教室（可跨大下課）＋1節在原班，原班那節排不同天</t>
        </is>
      </c>
      <c r="F14" s="52" t="inlineStr">
        <is>
          <t>—</t>
        </is>
      </c>
      <c r="G14" s="44" t="inlineStr">
        <is>
          <t>是</t>
        </is>
      </c>
      <c r="H14" s="53" t="inlineStr">
        <is>
          <t>實驗需要連堂</t>
        </is>
      </c>
    </row>
    <row r="15" ht="30" customHeight="1" s="36">
      <c r="A15" s="52" t="inlineStr">
        <is>
          <t>R12</t>
        </is>
      </c>
      <c r="B15" s="52" t="inlineStr">
        <is>
          <t>2 必須</t>
        </is>
      </c>
      <c r="C15" s="44" t="inlineStr">
        <is>
          <t>老師不排時段</t>
        </is>
      </c>
      <c r="D15" s="44" t="inlineStr">
        <is>
          <t>個別老師</t>
        </is>
      </c>
      <c r="E15" s="53" t="inlineStr">
        <is>
          <t>老師勾「必須」的時段（每人最多3節，不含職務限制）</t>
        </is>
      </c>
      <c r="F15" s="52" t="inlineStr">
        <is>
          <t>—</t>
        </is>
      </c>
      <c r="G15" s="44" t="inlineStr">
        <is>
          <t>是</t>
        </is>
      </c>
      <c r="H15" s="53" t="inlineStr">
        <is>
          <t>依「老師需求」頁</t>
        </is>
      </c>
    </row>
    <row r="16" ht="30" customHeight="1" s="36">
      <c r="A16" s="52" t="inlineStr">
        <is>
          <t>R13</t>
        </is>
      </c>
      <c r="B16" s="52" t="inlineStr">
        <is>
          <t>3 盡量</t>
        </is>
      </c>
      <c r="C16" s="44" t="inlineStr">
        <is>
          <t>科目不排時段</t>
        </is>
      </c>
      <c r="D16" s="44" t="inlineStr">
        <is>
          <t>體育</t>
        </is>
      </c>
      <c r="E16" s="53" t="inlineStr">
        <is>
          <t>不排第4、5節</t>
        </is>
      </c>
      <c r="F16" s="44" t="inlineStr">
        <is>
          <t>高</t>
        </is>
      </c>
      <c r="G16" s="44" t="inlineStr">
        <is>
          <t>是</t>
        </is>
      </c>
      <c r="H16" s="53" t="inlineStr">
        <is>
          <t>學校原則</t>
        </is>
      </c>
    </row>
    <row r="17" ht="30" customHeight="1" s="36">
      <c r="A17" s="52" t="inlineStr">
        <is>
          <t>R14</t>
        </is>
      </c>
      <c r="B17" s="52" t="inlineStr">
        <is>
          <t>3 盡量</t>
        </is>
      </c>
      <c r="C17" s="44" t="inlineStr">
        <is>
          <t>每日節數上限</t>
        </is>
      </c>
      <c r="D17" s="44" t="inlineStr">
        <is>
          <t>所有科任</t>
        </is>
      </c>
      <c r="E17" s="53" t="inlineStr">
        <is>
          <t>每天6節以下</t>
        </is>
      </c>
      <c r="F17" s="44" t="inlineStr">
        <is>
          <t>高</t>
        </is>
      </c>
      <c r="G17" s="44" t="inlineStr">
        <is>
          <t>是</t>
        </is>
      </c>
      <c r="H17" s="53" t="inlineStr">
        <is>
          <t>老師休息</t>
        </is>
      </c>
    </row>
    <row r="18" ht="30" customHeight="1" s="36">
      <c r="A18" s="52" t="inlineStr">
        <is>
          <t>R15</t>
        </is>
      </c>
      <c r="B18" s="52" t="inlineStr">
        <is>
          <t>3 盡量</t>
        </is>
      </c>
      <c r="C18" s="44" t="inlineStr">
        <is>
          <t>跑班距離</t>
        </is>
      </c>
      <c r="D18" s="44" t="inlineStr">
        <is>
          <t>到班上課科目</t>
        </is>
      </c>
      <c r="E18" s="53" t="inlineStr">
        <is>
          <t>同一老師連續兩節排在同棟、同層或相鄰班級</t>
        </is>
      </c>
      <c r="F18" s="44" t="inlineStr">
        <is>
          <t>中</t>
        </is>
      </c>
      <c r="G18" s="44" t="inlineStr">
        <is>
          <t>是</t>
        </is>
      </c>
      <c r="H18" s="53" t="inlineStr">
        <is>
          <t>下課10分鐘換班、上廁所</t>
        </is>
      </c>
    </row>
    <row r="19" ht="30" customHeight="1" s="36">
      <c r="A19" s="52" t="inlineStr">
        <is>
          <t>R16</t>
        </is>
      </c>
      <c r="B19" s="52" t="inlineStr">
        <is>
          <t>3 盡量</t>
        </is>
      </c>
      <c r="C19" s="44" t="inlineStr">
        <is>
          <t>老師不排時段</t>
        </is>
      </c>
      <c r="D19" s="44" t="inlineStr">
        <is>
          <t>個別老師</t>
        </is>
      </c>
      <c r="E19" s="53" t="inlineStr">
        <is>
          <t>老師勾「希望」的時段</t>
        </is>
      </c>
      <c r="F19" s="44" t="inlineStr">
        <is>
          <t>中</t>
        </is>
      </c>
      <c r="G19" s="44" t="inlineStr">
        <is>
          <t>是</t>
        </is>
      </c>
      <c r="H19" s="53" t="inlineStr">
        <is>
          <t>依「老師需求」頁</t>
        </is>
      </c>
    </row>
    <row r="20">
      <c r="A20" s="35" t="inlineStr">
        <is>
          <t>R17</t>
        </is>
      </c>
      <c r="B20" s="35" t="inlineStr">
        <is>
          <t>3 盡量</t>
        </is>
      </c>
      <c r="C20" s="35" t="inlineStr">
        <is>
          <t>同科分散</t>
        </is>
      </c>
      <c r="D20" s="35" t="inlineStr">
        <is>
          <t>所有科任</t>
        </is>
      </c>
      <c r="E20" s="35" t="inlineStr">
        <is>
          <t>同一班同一科一天最多 1 次（連堂算 1 次）</t>
        </is>
      </c>
      <c r="F20" s="35" t="inlineStr">
        <is>
          <t>高</t>
        </is>
      </c>
      <c r="G20" s="35" t="inlineStr">
        <is>
          <t>是</t>
        </is>
      </c>
      <c r="H20" s="35" t="inlineStr">
        <is>
          <t>避免同一天上兩次同科</t>
        </is>
      </c>
    </row>
    <row r="21">
      <c r="A21" s="35" t="inlineStr">
        <is>
          <t>R18</t>
        </is>
      </c>
      <c r="B21" s="35" t="inlineStr">
        <is>
          <t>3 盡量</t>
        </is>
      </c>
      <c r="C21" s="35" t="inlineStr">
        <is>
          <t>間隔天數</t>
        </is>
      </c>
      <c r="D21" s="35" t="inlineStr">
        <is>
          <t>自然</t>
        </is>
      </c>
      <c r="E21" s="35" t="inlineStr">
        <is>
          <t>同一班自然各次上課至少隔 1 天（例：星期一上連堂，原班那節排星期三以後）</t>
        </is>
      </c>
      <c r="F21" s="35" t="inlineStr">
        <is>
          <t>中</t>
        </is>
      </c>
      <c r="G21" s="35" t="inlineStr">
        <is>
          <t>是</t>
        </is>
      </c>
      <c r="H21" s="35" t="inlineStr">
        <is>
          <t>Bing 2026-10-21：原班那節要不同天，最好差一天</t>
        </is>
      </c>
    </row>
  </sheetData>
  <mergeCells count="2">
    <mergeCell ref="A2:H2"/>
    <mergeCell ref="A1:H1"/>
  </mergeCells>
  <dataValidations count="4">
    <dataValidation sqref="B4:B40" showDropDown="0" showInputMessage="0" showErrorMessage="0" allowBlank="1" type="list" errorStyle="stop" operator="between">
      <formula1>選項!$G$2:$G$5</formula1>
      <formula2>0</formula2>
    </dataValidation>
    <dataValidation sqref="C4:C40" showDropDown="0" showInputMessage="0" showErrorMessage="0" allowBlank="1" type="list" errorStyle="stop" operator="between">
      <formula1>選項!$M$2:$M$12</formula1>
      <formula2>0</formula2>
    </dataValidation>
    <dataValidation sqref="F4:F40" showDropDown="0" showInputMessage="0" showErrorMessage="0" allowBlank="1" type="list" errorStyle="stop" operator="between">
      <formula1>選項!$H$2:$H$5</formula1>
      <formula2>0</formula2>
    </dataValidation>
    <dataValidation sqref="G4:G40" showDropDown="0" showInputMessage="0" showErrorMessage="0" allowBlank="1" type="list" errorStyle="stop" operator="between">
      <formula1>選項!$I$2:$I$3</formula1>
      <formula2>0</formula2>
    </dataValidation>
  </dataValidation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H3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5" min="1" max="1"/>
    <col width="10" customWidth="1" style="35" min="2" max="2"/>
    <col width="11" customWidth="1" style="35" min="3" max="3"/>
    <col width="9" customWidth="1" style="35" min="4" max="4"/>
    <col width="14" customWidth="1" style="35" min="5" max="5"/>
    <col width="9" customWidth="1" style="35" min="6" max="6"/>
    <col width="24" customWidth="1" style="35" min="7" max="7"/>
    <col width="12" customWidth="1" style="35" min="8" max="8"/>
  </cols>
  <sheetData>
    <row r="1" ht="27.75" customHeight="1" s="36">
      <c r="A1" s="48" t="inlineStr">
        <is>
          <t>2. 科任配課</t>
        </is>
      </c>
    </row>
    <row r="2" ht="36" customHeight="1" s="36">
      <c r="A2" s="49" t="inlineStr">
        <is>
          <t>一列＝一位老師在一個班上一個科目。同一位老師教很多班就填很多列。「此老師每週總節數」會自動算（每天 6 節以下＝每週最多 30 節）。</t>
        </is>
      </c>
    </row>
    <row r="3" ht="32.8" customHeight="1" s="36">
      <c r="A3" s="39" t="inlineStr">
        <is>
          <t>教師姓名</t>
        </is>
      </c>
      <c r="B3" s="39" t="inlineStr">
        <is>
          <t>科目</t>
        </is>
      </c>
      <c r="C3" s="39" t="inlineStr">
        <is>
          <t>班級</t>
        </is>
      </c>
      <c r="D3" s="39" t="inlineStr">
        <is>
          <t>每週節數</t>
        </is>
      </c>
      <c r="E3" s="39" t="inlineStr">
        <is>
          <t>上課地點</t>
        </is>
      </c>
      <c r="F3" s="39" t="inlineStr">
        <is>
          <t>連堂節數</t>
        </is>
      </c>
      <c r="G3" s="39" t="inlineStr">
        <is>
          <t>備註</t>
        </is>
      </c>
      <c r="H3" s="39" t="inlineStr">
        <is>
          <t>此老師每週總節數</t>
        </is>
      </c>
    </row>
    <row r="4" ht="15" customHeight="1" s="36">
      <c r="A4" s="54" t="inlineStr">
        <is>
          <t>（範例）王小明</t>
        </is>
      </c>
      <c r="B4" s="54" t="inlineStr">
        <is>
          <t>自然</t>
        </is>
      </c>
      <c r="C4" s="55" t="inlineStr">
        <is>
          <t>3年1班</t>
        </is>
      </c>
      <c r="D4" s="54" t="n">
        <v>3</v>
      </c>
      <c r="E4" s="54" t="inlineStr">
        <is>
          <t>自然教室</t>
        </is>
      </c>
      <c r="F4" s="54" t="n">
        <v>2</v>
      </c>
      <c r="G4" s="54" t="inlineStr">
        <is>
          <t>另1節在原班</t>
        </is>
      </c>
      <c r="H4" s="54" t="n"/>
    </row>
    <row r="5" ht="15" customHeight="1" s="36">
      <c r="A5" s="44" t="inlineStr">
        <is>
          <t>英語甲</t>
        </is>
      </c>
      <c r="B5" s="52" t="inlineStr">
        <is>
          <t>英語</t>
        </is>
      </c>
      <c r="C5" s="52" t="inlineStr">
        <is>
          <t>1年1班</t>
        </is>
      </c>
      <c r="D5" s="44" t="n">
        <v>1</v>
      </c>
      <c r="E5" s="52" t="inlineStr">
        <is>
          <t>原班教室</t>
        </is>
      </c>
      <c r="F5" s="44" t="n"/>
      <c r="G5" s="44" t="n"/>
      <c r="H5" s="56">
        <f>IF(A5="","",SUMIF($A$5:$A$304,A5,$D$5:$D$304))</f>
        <v/>
      </c>
    </row>
    <row r="6" ht="15" customHeight="1" s="36">
      <c r="A6" s="44" t="inlineStr">
        <is>
          <t>英語甲</t>
        </is>
      </c>
      <c r="B6" s="52" t="inlineStr">
        <is>
          <t>英語</t>
        </is>
      </c>
      <c r="C6" s="52" t="inlineStr">
        <is>
          <t>1年2班</t>
        </is>
      </c>
      <c r="D6" s="44" t="n">
        <v>1</v>
      </c>
      <c r="E6" s="52" t="inlineStr">
        <is>
          <t>原班教室</t>
        </is>
      </c>
      <c r="F6" s="44" t="n"/>
      <c r="G6" s="44" t="n"/>
      <c r="H6" s="56">
        <f>IF(A6="","",SUMIF($A$5:$A$304,A6,$D$5:$D$304))</f>
        <v/>
      </c>
    </row>
    <row r="7" ht="15" customHeight="1" s="36">
      <c r="A7" s="44" t="inlineStr">
        <is>
          <t>英語甲</t>
        </is>
      </c>
      <c r="B7" s="52" t="inlineStr">
        <is>
          <t>英語</t>
        </is>
      </c>
      <c r="C7" s="52" t="inlineStr">
        <is>
          <t>1年3班</t>
        </is>
      </c>
      <c r="D7" s="44" t="n">
        <v>1</v>
      </c>
      <c r="E7" s="52" t="inlineStr">
        <is>
          <t>原班教室</t>
        </is>
      </c>
      <c r="F7" s="44" t="n"/>
      <c r="G7" s="44" t="n"/>
      <c r="H7" s="56">
        <f>IF(A7="","",SUMIF($A$5:$A$304,A7,$D$5:$D$304))</f>
        <v/>
      </c>
    </row>
    <row r="8" ht="15" customHeight="1" s="36">
      <c r="A8" s="44" t="inlineStr">
        <is>
          <t>英語甲</t>
        </is>
      </c>
      <c r="B8" s="52" t="inlineStr">
        <is>
          <t>英語</t>
        </is>
      </c>
      <c r="C8" s="52" t="inlineStr">
        <is>
          <t>1年4班</t>
        </is>
      </c>
      <c r="D8" s="44" t="n">
        <v>1</v>
      </c>
      <c r="E8" s="52" t="inlineStr">
        <is>
          <t>原班教室</t>
        </is>
      </c>
      <c r="F8" s="44" t="n"/>
      <c r="G8" s="44" t="n"/>
      <c r="H8" s="56">
        <f>IF(A8="","",SUMIF($A$5:$A$304,A8,$D$5:$D$304))</f>
        <v/>
      </c>
    </row>
    <row r="9" ht="15" customHeight="1" s="36">
      <c r="A9" s="44" t="inlineStr">
        <is>
          <t>英語甲</t>
        </is>
      </c>
      <c r="B9" s="52" t="inlineStr">
        <is>
          <t>英語</t>
        </is>
      </c>
      <c r="C9" s="52" t="inlineStr">
        <is>
          <t>1年5班</t>
        </is>
      </c>
      <c r="D9" s="44" t="n">
        <v>1</v>
      </c>
      <c r="E9" s="52" t="inlineStr">
        <is>
          <t>原班教室</t>
        </is>
      </c>
      <c r="F9" s="44" t="n"/>
      <c r="G9" s="44" t="n"/>
      <c r="H9" s="56">
        <f>IF(A9="","",SUMIF($A$5:$A$304,A9,$D$5:$D$304))</f>
        <v/>
      </c>
    </row>
    <row r="10" ht="15" customHeight="1" s="36">
      <c r="A10" s="44" t="inlineStr">
        <is>
          <t>英語甲</t>
        </is>
      </c>
      <c r="B10" s="52" t="inlineStr">
        <is>
          <t>英語</t>
        </is>
      </c>
      <c r="C10" s="52" t="inlineStr">
        <is>
          <t>1年6班</t>
        </is>
      </c>
      <c r="D10" s="44" t="n">
        <v>1</v>
      </c>
      <c r="E10" s="52" t="inlineStr">
        <is>
          <t>原班教室</t>
        </is>
      </c>
      <c r="F10" s="44" t="n"/>
      <c r="G10" s="44" t="n"/>
      <c r="H10" s="56">
        <f>IF(A10="","",SUMIF($A$5:$A$304,A10,$D$5:$D$304))</f>
        <v/>
      </c>
    </row>
    <row r="11" ht="15" customHeight="1" s="36">
      <c r="A11" s="44" t="inlineStr">
        <is>
          <t>英語甲</t>
        </is>
      </c>
      <c r="B11" s="52" t="inlineStr">
        <is>
          <t>英語</t>
        </is>
      </c>
      <c r="C11" s="52" t="inlineStr">
        <is>
          <t>1年7班</t>
        </is>
      </c>
      <c r="D11" s="44" t="n">
        <v>1</v>
      </c>
      <c r="E11" s="52" t="inlineStr">
        <is>
          <t>原班教室</t>
        </is>
      </c>
      <c r="F11" s="44" t="n"/>
      <c r="G11" s="44" t="n"/>
      <c r="H11" s="56">
        <f>IF(A11="","",SUMIF($A$5:$A$304,A11,$D$5:$D$304))</f>
        <v/>
      </c>
    </row>
    <row r="12" ht="15" customHeight="1" s="36">
      <c r="A12" s="44" t="inlineStr">
        <is>
          <t>英語甲</t>
        </is>
      </c>
      <c r="B12" s="52" t="inlineStr">
        <is>
          <t>英語</t>
        </is>
      </c>
      <c r="C12" s="52" t="inlineStr">
        <is>
          <t>1年8班</t>
        </is>
      </c>
      <c r="D12" s="44" t="n">
        <v>1</v>
      </c>
      <c r="E12" s="52" t="inlineStr">
        <is>
          <t>原班教室</t>
        </is>
      </c>
      <c r="F12" s="44" t="n"/>
      <c r="G12" s="44" t="n"/>
      <c r="H12" s="56">
        <f>IF(A12="","",SUMIF($A$5:$A$304,A12,$D$5:$D$304))</f>
        <v/>
      </c>
    </row>
    <row r="13" ht="15" customHeight="1" s="36">
      <c r="A13" s="44" t="inlineStr">
        <is>
          <t>英語甲</t>
        </is>
      </c>
      <c r="B13" s="52" t="inlineStr">
        <is>
          <t>英語</t>
        </is>
      </c>
      <c r="C13" s="52" t="inlineStr">
        <is>
          <t>1年9班</t>
        </is>
      </c>
      <c r="D13" s="44" t="n">
        <v>1</v>
      </c>
      <c r="E13" s="52" t="inlineStr">
        <is>
          <t>原班教室</t>
        </is>
      </c>
      <c r="F13" s="44" t="n"/>
      <c r="G13" s="44" t="n"/>
      <c r="H13" s="56">
        <f>IF(A13="","",SUMIF($A$5:$A$304,A13,$D$5:$D$304))</f>
        <v/>
      </c>
    </row>
    <row r="14" ht="15" customHeight="1" s="36">
      <c r="A14" s="44" t="inlineStr">
        <is>
          <t>英語甲</t>
        </is>
      </c>
      <c r="B14" s="52" t="inlineStr">
        <is>
          <t>英語</t>
        </is>
      </c>
      <c r="C14" s="52" t="inlineStr">
        <is>
          <t>1年10班</t>
        </is>
      </c>
      <c r="D14" s="44" t="n">
        <v>1</v>
      </c>
      <c r="E14" s="52" t="inlineStr">
        <is>
          <t>原班教室</t>
        </is>
      </c>
      <c r="F14" s="44" t="n"/>
      <c r="G14" s="44" t="n"/>
      <c r="H14" s="56">
        <f>IF(A14="","",SUMIF($A$5:$A$304,A14,$D$5:$D$304))</f>
        <v/>
      </c>
    </row>
    <row r="15" ht="15" customHeight="1" s="36">
      <c r="A15" s="44" t="inlineStr">
        <is>
          <t>英語甲</t>
        </is>
      </c>
      <c r="B15" s="52" t="inlineStr">
        <is>
          <t>英語</t>
        </is>
      </c>
      <c r="C15" s="52" t="inlineStr">
        <is>
          <t>1年11班</t>
        </is>
      </c>
      <c r="D15" s="44" t="n">
        <v>1</v>
      </c>
      <c r="E15" s="52" t="inlineStr">
        <is>
          <t>原班教室</t>
        </is>
      </c>
      <c r="F15" s="44" t="n"/>
      <c r="G15" s="44" t="n"/>
      <c r="H15" s="56">
        <f>IF(A15="","",SUMIF($A$5:$A$304,A15,$D$5:$D$304))</f>
        <v/>
      </c>
    </row>
    <row r="16" ht="15" customHeight="1" s="36">
      <c r="A16" s="44" t="inlineStr">
        <is>
          <t>英語甲</t>
        </is>
      </c>
      <c r="B16" s="52" t="inlineStr">
        <is>
          <t>英語</t>
        </is>
      </c>
      <c r="C16" s="52" t="inlineStr">
        <is>
          <t>1年12班</t>
        </is>
      </c>
      <c r="D16" s="44" t="n">
        <v>1</v>
      </c>
      <c r="E16" s="52" t="inlineStr">
        <is>
          <t>原班教室</t>
        </is>
      </c>
      <c r="F16" s="44" t="n"/>
      <c r="G16" s="44" t="n"/>
      <c r="H16" s="56">
        <f>IF(A16="","",SUMIF($A$5:$A$304,A16,$D$5:$D$304))</f>
        <v/>
      </c>
    </row>
    <row r="17" ht="15" customHeight="1" s="36">
      <c r="A17" s="44" t="inlineStr">
        <is>
          <t>英語甲</t>
        </is>
      </c>
      <c r="B17" s="52" t="inlineStr">
        <is>
          <t>英語</t>
        </is>
      </c>
      <c r="C17" s="52" t="inlineStr">
        <is>
          <t>2年1班</t>
        </is>
      </c>
      <c r="D17" s="44" t="n">
        <v>1</v>
      </c>
      <c r="E17" s="52" t="inlineStr">
        <is>
          <t>原班教室</t>
        </is>
      </c>
      <c r="F17" s="44" t="n"/>
      <c r="G17" s="44" t="n"/>
      <c r="H17" s="56">
        <f>IF(A17="","",SUMIF($A$5:$A$304,A17,$D$5:$D$304))</f>
        <v/>
      </c>
    </row>
    <row r="18" ht="15" customHeight="1" s="36">
      <c r="A18" s="44" t="inlineStr">
        <is>
          <t>英語甲</t>
        </is>
      </c>
      <c r="B18" s="52" t="inlineStr">
        <is>
          <t>英語</t>
        </is>
      </c>
      <c r="C18" s="52" t="inlineStr">
        <is>
          <t>2年2班</t>
        </is>
      </c>
      <c r="D18" s="44" t="n">
        <v>1</v>
      </c>
      <c r="E18" s="52" t="inlineStr">
        <is>
          <t>原班教室</t>
        </is>
      </c>
      <c r="F18" s="44" t="n"/>
      <c r="G18" s="44" t="n"/>
      <c r="H18" s="56">
        <f>IF(A18="","",SUMIF($A$5:$A$304,A18,$D$5:$D$304))</f>
        <v/>
      </c>
    </row>
    <row r="19" ht="15" customHeight="1" s="36">
      <c r="A19" s="44" t="inlineStr">
        <is>
          <t>英語甲</t>
        </is>
      </c>
      <c r="B19" s="52" t="inlineStr">
        <is>
          <t>英語</t>
        </is>
      </c>
      <c r="C19" s="52" t="inlineStr">
        <is>
          <t>2年3班</t>
        </is>
      </c>
      <c r="D19" s="44" t="n">
        <v>1</v>
      </c>
      <c r="E19" s="52" t="inlineStr">
        <is>
          <t>原班教室</t>
        </is>
      </c>
      <c r="F19" s="44" t="n"/>
      <c r="G19" s="44" t="n"/>
      <c r="H19" s="56">
        <f>IF(A19="","",SUMIF($A$5:$A$304,A19,$D$5:$D$304))</f>
        <v/>
      </c>
    </row>
    <row r="20" ht="15" customHeight="1" s="36">
      <c r="A20" s="44" t="inlineStr">
        <is>
          <t>英語甲</t>
        </is>
      </c>
      <c r="B20" s="52" t="inlineStr">
        <is>
          <t>英語</t>
        </is>
      </c>
      <c r="C20" s="52" t="inlineStr">
        <is>
          <t>2年4班</t>
        </is>
      </c>
      <c r="D20" s="44" t="n">
        <v>1</v>
      </c>
      <c r="E20" s="52" t="inlineStr">
        <is>
          <t>原班教室</t>
        </is>
      </c>
      <c r="F20" s="44" t="n"/>
      <c r="G20" s="44" t="n"/>
      <c r="H20" s="56">
        <f>IF(A20="","",SUMIF($A$5:$A$304,A20,$D$5:$D$304))</f>
        <v/>
      </c>
    </row>
    <row r="21" ht="15" customHeight="1" s="36">
      <c r="A21" s="44" t="inlineStr">
        <is>
          <t>英語甲</t>
        </is>
      </c>
      <c r="B21" s="52" t="inlineStr">
        <is>
          <t>英語</t>
        </is>
      </c>
      <c r="C21" s="52" t="inlineStr">
        <is>
          <t>2年5班</t>
        </is>
      </c>
      <c r="D21" s="44" t="n">
        <v>1</v>
      </c>
      <c r="E21" s="52" t="inlineStr">
        <is>
          <t>原班教室</t>
        </is>
      </c>
      <c r="F21" s="44" t="n"/>
      <c r="G21" s="44" t="n"/>
      <c r="H21" s="56">
        <f>IF(A21="","",SUMIF($A$5:$A$304,A21,$D$5:$D$304))</f>
        <v/>
      </c>
    </row>
    <row r="22" ht="15" customHeight="1" s="36">
      <c r="A22" s="44" t="inlineStr">
        <is>
          <t>英語甲</t>
        </is>
      </c>
      <c r="B22" s="52" t="inlineStr">
        <is>
          <t>英語</t>
        </is>
      </c>
      <c r="C22" s="52" t="inlineStr">
        <is>
          <t>2年6班</t>
        </is>
      </c>
      <c r="D22" s="44" t="n">
        <v>1</v>
      </c>
      <c r="E22" s="52" t="inlineStr">
        <is>
          <t>原班教室</t>
        </is>
      </c>
      <c r="F22" s="44" t="n"/>
      <c r="G22" s="44" t="n"/>
      <c r="H22" s="56">
        <f>IF(A22="","",SUMIF($A$5:$A$304,A22,$D$5:$D$304))</f>
        <v/>
      </c>
    </row>
    <row r="23" ht="15" customHeight="1" s="36">
      <c r="A23" s="44" t="inlineStr">
        <is>
          <t>英語甲</t>
        </is>
      </c>
      <c r="B23" s="52" t="inlineStr">
        <is>
          <t>英語</t>
        </is>
      </c>
      <c r="C23" s="52" t="inlineStr">
        <is>
          <t>2年7班</t>
        </is>
      </c>
      <c r="D23" s="44" t="n">
        <v>1</v>
      </c>
      <c r="E23" s="52" t="inlineStr">
        <is>
          <t>原班教室</t>
        </is>
      </c>
      <c r="F23" s="44" t="n"/>
      <c r="G23" s="44" t="n"/>
      <c r="H23" s="56">
        <f>IF(A23="","",SUMIF($A$5:$A$304,A23,$D$5:$D$304))</f>
        <v/>
      </c>
    </row>
    <row r="24" ht="15" customHeight="1" s="36">
      <c r="A24" s="44" t="inlineStr">
        <is>
          <t>英語甲</t>
        </is>
      </c>
      <c r="B24" s="52" t="inlineStr">
        <is>
          <t>英語</t>
        </is>
      </c>
      <c r="C24" s="52" t="inlineStr">
        <is>
          <t>2年8班</t>
        </is>
      </c>
      <c r="D24" s="44" t="n">
        <v>1</v>
      </c>
      <c r="E24" s="52" t="inlineStr">
        <is>
          <t>原班教室</t>
        </is>
      </c>
      <c r="F24" s="44" t="n"/>
      <c r="G24" s="44" t="n"/>
      <c r="H24" s="56">
        <f>IF(A24="","",SUMIF($A$5:$A$304,A24,$D$5:$D$304))</f>
        <v/>
      </c>
    </row>
    <row r="25" ht="15" customHeight="1" s="36">
      <c r="A25" s="44" t="inlineStr">
        <is>
          <t>英語乙</t>
        </is>
      </c>
      <c r="B25" s="52" t="inlineStr">
        <is>
          <t>英語</t>
        </is>
      </c>
      <c r="C25" s="52" t="inlineStr">
        <is>
          <t>2年9班</t>
        </is>
      </c>
      <c r="D25" s="44" t="n">
        <v>1</v>
      </c>
      <c r="E25" s="52" t="inlineStr">
        <is>
          <t>原班教室</t>
        </is>
      </c>
      <c r="F25" s="44" t="n"/>
      <c r="G25" s="44" t="n"/>
      <c r="H25" s="56">
        <f>IF(A25="","",SUMIF($A$5:$A$304,A25,$D$5:$D$304))</f>
        <v/>
      </c>
    </row>
    <row r="26" ht="15" customHeight="1" s="36">
      <c r="A26" s="44" t="inlineStr">
        <is>
          <t>英語乙</t>
        </is>
      </c>
      <c r="B26" s="52" t="inlineStr">
        <is>
          <t>英語</t>
        </is>
      </c>
      <c r="C26" s="52" t="inlineStr">
        <is>
          <t>2年10班</t>
        </is>
      </c>
      <c r="D26" s="44" t="n">
        <v>1</v>
      </c>
      <c r="E26" s="52" t="inlineStr">
        <is>
          <t>原班教室</t>
        </is>
      </c>
      <c r="F26" s="44" t="n"/>
      <c r="G26" s="44" t="n"/>
      <c r="H26" s="56">
        <f>IF(A26="","",SUMIF($A$5:$A$304,A26,$D$5:$D$304))</f>
        <v/>
      </c>
    </row>
    <row r="27" ht="15" customHeight="1" s="36">
      <c r="A27" s="44" t="inlineStr">
        <is>
          <t>英語乙</t>
        </is>
      </c>
      <c r="B27" s="52" t="inlineStr">
        <is>
          <t>英語</t>
        </is>
      </c>
      <c r="C27" s="52" t="inlineStr">
        <is>
          <t>2年11班</t>
        </is>
      </c>
      <c r="D27" s="44" t="n">
        <v>1</v>
      </c>
      <c r="E27" s="52" t="inlineStr">
        <is>
          <t>原班教室</t>
        </is>
      </c>
      <c r="F27" s="44" t="n"/>
      <c r="G27" s="44" t="n"/>
      <c r="H27" s="56">
        <f>IF(A27="","",SUMIF($A$5:$A$304,A27,$D$5:$D$304))</f>
        <v/>
      </c>
    </row>
    <row r="28" ht="15" customHeight="1" s="36">
      <c r="A28" s="44" t="inlineStr">
        <is>
          <t>英語乙</t>
        </is>
      </c>
      <c r="B28" s="52" t="inlineStr">
        <is>
          <t>英語</t>
        </is>
      </c>
      <c r="C28" s="52" t="inlineStr">
        <is>
          <t>3年1班</t>
        </is>
      </c>
      <c r="D28" s="44" t="n">
        <v>2</v>
      </c>
      <c r="E28" s="52" t="inlineStr">
        <is>
          <t>原班教室</t>
        </is>
      </c>
      <c r="F28" s="44" t="n"/>
      <c r="G28" s="44" t="n"/>
      <c r="H28" s="56">
        <f>IF(A28="","",SUMIF($A$5:$A$304,A28,$D$5:$D$304))</f>
        <v/>
      </c>
    </row>
    <row r="29" ht="15" customHeight="1" s="36">
      <c r="A29" s="44" t="inlineStr">
        <is>
          <t>英語乙</t>
        </is>
      </c>
      <c r="B29" s="52" t="inlineStr">
        <is>
          <t>英語</t>
        </is>
      </c>
      <c r="C29" s="52" t="inlineStr">
        <is>
          <t>3年2班</t>
        </is>
      </c>
      <c r="D29" s="44" t="n">
        <v>2</v>
      </c>
      <c r="E29" s="52" t="inlineStr">
        <is>
          <t>原班教室</t>
        </is>
      </c>
      <c r="F29" s="44" t="n"/>
      <c r="G29" s="44" t="n"/>
      <c r="H29" s="56">
        <f>IF(A29="","",SUMIF($A$5:$A$304,A29,$D$5:$D$304))</f>
        <v/>
      </c>
    </row>
    <row r="30" ht="15" customHeight="1" s="36">
      <c r="A30" s="44" t="inlineStr">
        <is>
          <t>英語乙</t>
        </is>
      </c>
      <c r="B30" s="52" t="inlineStr">
        <is>
          <t>英語</t>
        </is>
      </c>
      <c r="C30" s="52" t="inlineStr">
        <is>
          <t>3年3班</t>
        </is>
      </c>
      <c r="D30" s="44" t="n">
        <v>2</v>
      </c>
      <c r="E30" s="52" t="inlineStr">
        <is>
          <t>原班教室</t>
        </is>
      </c>
      <c r="F30" s="44" t="n"/>
      <c r="G30" s="44" t="n"/>
      <c r="H30" s="56">
        <f>IF(A30="","",SUMIF($A$5:$A$304,A30,$D$5:$D$304))</f>
        <v/>
      </c>
    </row>
    <row r="31" ht="15" customHeight="1" s="36">
      <c r="A31" s="44" t="inlineStr">
        <is>
          <t>英語乙</t>
        </is>
      </c>
      <c r="B31" s="52" t="inlineStr">
        <is>
          <t>英語</t>
        </is>
      </c>
      <c r="C31" s="52" t="inlineStr">
        <is>
          <t>3年4班</t>
        </is>
      </c>
      <c r="D31" s="44" t="n">
        <v>2</v>
      </c>
      <c r="E31" s="52" t="inlineStr">
        <is>
          <t>原班教室</t>
        </is>
      </c>
      <c r="F31" s="44" t="n"/>
      <c r="G31" s="44" t="n"/>
      <c r="H31" s="56">
        <f>IF(A31="","",SUMIF($A$5:$A$304,A31,$D$5:$D$304))</f>
        <v/>
      </c>
    </row>
    <row r="32" ht="15" customHeight="1" s="36">
      <c r="A32" s="44" t="inlineStr">
        <is>
          <t>英語乙</t>
        </is>
      </c>
      <c r="B32" s="52" t="inlineStr">
        <is>
          <t>英語</t>
        </is>
      </c>
      <c r="C32" s="52" t="inlineStr">
        <is>
          <t>3年5班</t>
        </is>
      </c>
      <c r="D32" s="44" t="n">
        <v>2</v>
      </c>
      <c r="E32" s="52" t="inlineStr">
        <is>
          <t>原班教室</t>
        </is>
      </c>
      <c r="F32" s="44" t="n"/>
      <c r="G32" s="44" t="n"/>
      <c r="H32" s="56">
        <f>IF(A32="","",SUMIF($A$5:$A$304,A32,$D$5:$D$304))</f>
        <v/>
      </c>
    </row>
    <row r="33" ht="15" customHeight="1" s="36">
      <c r="A33" s="44" t="inlineStr">
        <is>
          <t>英語乙</t>
        </is>
      </c>
      <c r="B33" s="52" t="inlineStr">
        <is>
          <t>英語</t>
        </is>
      </c>
      <c r="C33" s="52" t="inlineStr">
        <is>
          <t>3年6班</t>
        </is>
      </c>
      <c r="D33" s="44" t="n">
        <v>2</v>
      </c>
      <c r="E33" s="52" t="inlineStr">
        <is>
          <t>原班教室</t>
        </is>
      </c>
      <c r="F33" s="44" t="n"/>
      <c r="G33" s="44" t="n"/>
      <c r="H33" s="56">
        <f>IF(A33="","",SUMIF($A$5:$A$304,A33,$D$5:$D$304))</f>
        <v/>
      </c>
    </row>
    <row r="34" ht="15" customHeight="1" s="36">
      <c r="A34" s="44" t="inlineStr">
        <is>
          <t>英語乙</t>
        </is>
      </c>
      <c r="B34" s="52" t="inlineStr">
        <is>
          <t>英語</t>
        </is>
      </c>
      <c r="C34" s="52" t="inlineStr">
        <is>
          <t>3年7班</t>
        </is>
      </c>
      <c r="D34" s="44" t="n">
        <v>2</v>
      </c>
      <c r="E34" s="52" t="inlineStr">
        <is>
          <t>原班教室</t>
        </is>
      </c>
      <c r="F34" s="44" t="n"/>
      <c r="G34" s="44" t="n"/>
      <c r="H34" s="56">
        <f>IF(A34="","",SUMIF($A$5:$A$304,A34,$D$5:$D$304))</f>
        <v/>
      </c>
    </row>
    <row r="35" ht="15" customHeight="1" s="36">
      <c r="A35" s="44" t="inlineStr">
        <is>
          <t>英語乙</t>
        </is>
      </c>
      <c r="B35" s="52" t="inlineStr">
        <is>
          <t>英語</t>
        </is>
      </c>
      <c r="C35" s="52" t="inlineStr">
        <is>
          <t>3年8班</t>
        </is>
      </c>
      <c r="D35" s="44" t="n">
        <v>2</v>
      </c>
      <c r="E35" s="52" t="inlineStr">
        <is>
          <t>原班教室</t>
        </is>
      </c>
      <c r="F35" s="44" t="n"/>
      <c r="G35" s="44" t="n"/>
      <c r="H35" s="56">
        <f>IF(A35="","",SUMIF($A$5:$A$304,A35,$D$5:$D$304))</f>
        <v/>
      </c>
    </row>
    <row r="36" ht="15" customHeight="1" s="36">
      <c r="A36" s="44" t="inlineStr">
        <is>
          <t>英語丙</t>
        </is>
      </c>
      <c r="B36" s="52" t="inlineStr">
        <is>
          <t>英語</t>
        </is>
      </c>
      <c r="C36" s="52" t="inlineStr">
        <is>
          <t>3年9班</t>
        </is>
      </c>
      <c r="D36" s="44" t="n">
        <v>2</v>
      </c>
      <c r="E36" s="52" t="inlineStr">
        <is>
          <t>原班教室</t>
        </is>
      </c>
      <c r="F36" s="44" t="n"/>
      <c r="G36" s="44" t="n"/>
      <c r="H36" s="56">
        <f>IF(A36="","",SUMIF($A$5:$A$304,A36,$D$5:$D$304))</f>
        <v/>
      </c>
    </row>
    <row r="37" ht="15" customHeight="1" s="36">
      <c r="A37" s="44" t="inlineStr">
        <is>
          <t>英語丙</t>
        </is>
      </c>
      <c r="B37" s="52" t="inlineStr">
        <is>
          <t>英語</t>
        </is>
      </c>
      <c r="C37" s="52" t="inlineStr">
        <is>
          <t>3年10班</t>
        </is>
      </c>
      <c r="D37" s="44" t="n">
        <v>2</v>
      </c>
      <c r="E37" s="52" t="inlineStr">
        <is>
          <t>原班教室</t>
        </is>
      </c>
      <c r="F37" s="44" t="n"/>
      <c r="G37" s="44" t="n"/>
      <c r="H37" s="56">
        <f>IF(A37="","",SUMIF($A$5:$A$304,A37,$D$5:$D$304))</f>
        <v/>
      </c>
    </row>
    <row r="38" ht="15" customHeight="1" s="36">
      <c r="A38" s="44" t="inlineStr">
        <is>
          <t>英語丙</t>
        </is>
      </c>
      <c r="B38" s="52" t="inlineStr">
        <is>
          <t>英語</t>
        </is>
      </c>
      <c r="C38" s="52" t="inlineStr">
        <is>
          <t>3年11班</t>
        </is>
      </c>
      <c r="D38" s="44" t="n">
        <v>2</v>
      </c>
      <c r="E38" s="52" t="inlineStr">
        <is>
          <t>原班教室</t>
        </is>
      </c>
      <c r="F38" s="44" t="n"/>
      <c r="G38" s="44" t="n"/>
      <c r="H38" s="56">
        <f>IF(A38="","",SUMIF($A$5:$A$304,A38,$D$5:$D$304))</f>
        <v/>
      </c>
    </row>
    <row r="39" ht="15" customHeight="1" s="36">
      <c r="A39" s="44" t="inlineStr">
        <is>
          <t>英語丙</t>
        </is>
      </c>
      <c r="B39" s="52" t="inlineStr">
        <is>
          <t>英語</t>
        </is>
      </c>
      <c r="C39" s="52" t="inlineStr">
        <is>
          <t>3年12班</t>
        </is>
      </c>
      <c r="D39" s="44" t="n">
        <v>2</v>
      </c>
      <c r="E39" s="52" t="inlineStr">
        <is>
          <t>原班教室</t>
        </is>
      </c>
      <c r="F39" s="44" t="n"/>
      <c r="G39" s="44" t="n"/>
      <c r="H39" s="56">
        <f>IF(A39="","",SUMIF($A$5:$A$304,A39,$D$5:$D$304))</f>
        <v/>
      </c>
    </row>
    <row r="40" ht="15" customHeight="1" s="36">
      <c r="A40" s="44" t="inlineStr">
        <is>
          <t>英語丙</t>
        </is>
      </c>
      <c r="B40" s="52" t="inlineStr">
        <is>
          <t>英語</t>
        </is>
      </c>
      <c r="C40" s="52" t="inlineStr">
        <is>
          <t>4年1班</t>
        </is>
      </c>
      <c r="D40" s="44" t="n">
        <v>2</v>
      </c>
      <c r="E40" s="52" t="inlineStr">
        <is>
          <t>原班教室</t>
        </is>
      </c>
      <c r="F40" s="44" t="n"/>
      <c r="G40" s="44" t="n"/>
      <c r="H40" s="56">
        <f>IF(A40="","",SUMIF($A$5:$A$304,A40,$D$5:$D$304))</f>
        <v/>
      </c>
    </row>
    <row r="41" ht="15" customHeight="1" s="36">
      <c r="A41" s="44" t="inlineStr">
        <is>
          <t>英語丙</t>
        </is>
      </c>
      <c r="B41" s="52" t="inlineStr">
        <is>
          <t>英語</t>
        </is>
      </c>
      <c r="C41" s="52" t="inlineStr">
        <is>
          <t>4年2班</t>
        </is>
      </c>
      <c r="D41" s="44" t="n">
        <v>2</v>
      </c>
      <c r="E41" s="52" t="inlineStr">
        <is>
          <t>原班教室</t>
        </is>
      </c>
      <c r="F41" s="44" t="n"/>
      <c r="G41" s="44" t="n"/>
      <c r="H41" s="56">
        <f>IF(A41="","",SUMIF($A$5:$A$304,A41,$D$5:$D$304))</f>
        <v/>
      </c>
    </row>
    <row r="42" ht="15" customHeight="1" s="36">
      <c r="A42" s="44" t="inlineStr">
        <is>
          <t>英語丙</t>
        </is>
      </c>
      <c r="B42" s="52" t="inlineStr">
        <is>
          <t>英語</t>
        </is>
      </c>
      <c r="C42" s="52" t="inlineStr">
        <is>
          <t>4年3班</t>
        </is>
      </c>
      <c r="D42" s="44" t="n">
        <v>2</v>
      </c>
      <c r="E42" s="52" t="inlineStr">
        <is>
          <t>原班教室</t>
        </is>
      </c>
      <c r="F42" s="44" t="n"/>
      <c r="G42" s="44" t="n"/>
      <c r="H42" s="56">
        <f>IF(A42="","",SUMIF($A$5:$A$304,A42,$D$5:$D$304))</f>
        <v/>
      </c>
    </row>
    <row r="43" ht="15" customHeight="1" s="36">
      <c r="A43" s="44" t="inlineStr">
        <is>
          <t>英語丙</t>
        </is>
      </c>
      <c r="B43" s="52" t="inlineStr">
        <is>
          <t>英語</t>
        </is>
      </c>
      <c r="C43" s="52" t="inlineStr">
        <is>
          <t>4年4班</t>
        </is>
      </c>
      <c r="D43" s="44" t="n">
        <v>2</v>
      </c>
      <c r="E43" s="52" t="inlineStr">
        <is>
          <t>原班教室</t>
        </is>
      </c>
      <c r="F43" s="44" t="n"/>
      <c r="G43" s="44" t="n"/>
      <c r="H43" s="56">
        <f>IF(A43="","",SUMIF($A$5:$A$304,A43,$D$5:$D$304))</f>
        <v/>
      </c>
    </row>
    <row r="44" ht="15" customHeight="1" s="36">
      <c r="A44" s="44" t="inlineStr">
        <is>
          <t>英語丙</t>
        </is>
      </c>
      <c r="B44" s="52" t="inlineStr">
        <is>
          <t>英語</t>
        </is>
      </c>
      <c r="C44" s="52" t="inlineStr">
        <is>
          <t>4年5班</t>
        </is>
      </c>
      <c r="D44" s="44" t="n">
        <v>2</v>
      </c>
      <c r="E44" s="52" t="inlineStr">
        <is>
          <t>原班教室</t>
        </is>
      </c>
      <c r="F44" s="44" t="n"/>
      <c r="G44" s="44" t="n"/>
      <c r="H44" s="56">
        <f>IF(A44="","",SUMIF($A$5:$A$304,A44,$D$5:$D$304))</f>
        <v/>
      </c>
    </row>
    <row r="45" ht="15" customHeight="1" s="36">
      <c r="A45" s="44" t="inlineStr">
        <is>
          <t>英語丙</t>
        </is>
      </c>
      <c r="B45" s="52" t="inlineStr">
        <is>
          <t>英語</t>
        </is>
      </c>
      <c r="C45" s="52" t="inlineStr">
        <is>
          <t>4年6班</t>
        </is>
      </c>
      <c r="D45" s="44" t="n">
        <v>2</v>
      </c>
      <c r="E45" s="52" t="inlineStr">
        <is>
          <t>原班教室</t>
        </is>
      </c>
      <c r="F45" s="44" t="n"/>
      <c r="G45" s="44" t="n"/>
      <c r="H45" s="56">
        <f>IF(A45="","",SUMIF($A$5:$A$304,A45,$D$5:$D$304))</f>
        <v/>
      </c>
    </row>
    <row r="46" ht="15" customHeight="1" s="36">
      <c r="A46" s="44" t="inlineStr">
        <is>
          <t>英語丁</t>
        </is>
      </c>
      <c r="B46" s="52" t="inlineStr">
        <is>
          <t>英語</t>
        </is>
      </c>
      <c r="C46" s="52" t="inlineStr">
        <is>
          <t>4年7班</t>
        </is>
      </c>
      <c r="D46" s="44" t="n">
        <v>2</v>
      </c>
      <c r="E46" s="52" t="inlineStr">
        <is>
          <t>原班教室</t>
        </is>
      </c>
      <c r="F46" s="44" t="n"/>
      <c r="G46" s="44" t="n"/>
      <c r="H46" s="56">
        <f>IF(A46="","",SUMIF($A$5:$A$304,A46,$D$5:$D$304))</f>
        <v/>
      </c>
    </row>
    <row r="47" ht="15" customHeight="1" s="36">
      <c r="A47" s="44" t="inlineStr">
        <is>
          <t>英語丁</t>
        </is>
      </c>
      <c r="B47" s="52" t="inlineStr">
        <is>
          <t>英語</t>
        </is>
      </c>
      <c r="C47" s="52" t="inlineStr">
        <is>
          <t>4年8班</t>
        </is>
      </c>
      <c r="D47" s="44" t="n">
        <v>2</v>
      </c>
      <c r="E47" s="52" t="inlineStr">
        <is>
          <t>原班教室</t>
        </is>
      </c>
      <c r="F47" s="44" t="n"/>
      <c r="G47" s="44" t="n"/>
      <c r="H47" s="56">
        <f>IF(A47="","",SUMIF($A$5:$A$304,A47,$D$5:$D$304))</f>
        <v/>
      </c>
    </row>
    <row r="48" ht="15" customHeight="1" s="36">
      <c r="A48" s="44" t="inlineStr">
        <is>
          <t>英語丁</t>
        </is>
      </c>
      <c r="B48" s="52" t="inlineStr">
        <is>
          <t>英語</t>
        </is>
      </c>
      <c r="C48" s="52" t="inlineStr">
        <is>
          <t>4年9班</t>
        </is>
      </c>
      <c r="D48" s="44" t="n">
        <v>2</v>
      </c>
      <c r="E48" s="52" t="inlineStr">
        <is>
          <t>原班教室</t>
        </is>
      </c>
      <c r="F48" s="44" t="n"/>
      <c r="G48" s="44" t="n"/>
      <c r="H48" s="56">
        <f>IF(A48="","",SUMIF($A$5:$A$304,A48,$D$5:$D$304))</f>
        <v/>
      </c>
    </row>
    <row r="49" ht="15" customHeight="1" s="36">
      <c r="A49" s="44" t="inlineStr">
        <is>
          <t>英語丁</t>
        </is>
      </c>
      <c r="B49" s="52" t="inlineStr">
        <is>
          <t>英語</t>
        </is>
      </c>
      <c r="C49" s="52" t="inlineStr">
        <is>
          <t>4年10班</t>
        </is>
      </c>
      <c r="D49" s="44" t="n">
        <v>2</v>
      </c>
      <c r="E49" s="52" t="inlineStr">
        <is>
          <t>原班教室</t>
        </is>
      </c>
      <c r="F49" s="44" t="n"/>
      <c r="G49" s="44" t="n"/>
      <c r="H49" s="56">
        <f>IF(A49="","",SUMIF($A$5:$A$304,A49,$D$5:$D$304))</f>
        <v/>
      </c>
    </row>
    <row r="50" ht="15" customHeight="1" s="36">
      <c r="A50" s="44" t="inlineStr">
        <is>
          <t>英語丁</t>
        </is>
      </c>
      <c r="B50" s="52" t="inlineStr">
        <is>
          <t>英語</t>
        </is>
      </c>
      <c r="C50" s="52" t="inlineStr">
        <is>
          <t>4年11班</t>
        </is>
      </c>
      <c r="D50" s="44" t="n">
        <v>2</v>
      </c>
      <c r="E50" s="52" t="inlineStr">
        <is>
          <t>原班教室</t>
        </is>
      </c>
      <c r="F50" s="44" t="n"/>
      <c r="G50" s="44" t="n"/>
      <c r="H50" s="56">
        <f>IF(A50="","",SUMIF($A$5:$A$304,A50,$D$5:$D$304))</f>
        <v/>
      </c>
    </row>
    <row r="51" ht="15" customHeight="1" s="36">
      <c r="A51" s="44" t="inlineStr">
        <is>
          <t>英語丁</t>
        </is>
      </c>
      <c r="B51" s="52" t="inlineStr">
        <is>
          <t>英語</t>
        </is>
      </c>
      <c r="C51" s="52" t="inlineStr">
        <is>
          <t>4年12班</t>
        </is>
      </c>
      <c r="D51" s="44" t="n">
        <v>2</v>
      </c>
      <c r="E51" s="52" t="inlineStr">
        <is>
          <t>原班教室</t>
        </is>
      </c>
      <c r="F51" s="44" t="n"/>
      <c r="G51" s="44" t="n"/>
      <c r="H51" s="56">
        <f>IF(A51="","",SUMIF($A$5:$A$304,A51,$D$5:$D$304))</f>
        <v/>
      </c>
    </row>
    <row r="52" ht="15" customHeight="1" s="36">
      <c r="A52" s="44" t="inlineStr">
        <is>
          <t>英語丁</t>
        </is>
      </c>
      <c r="B52" s="52" t="inlineStr">
        <is>
          <t>英語</t>
        </is>
      </c>
      <c r="C52" s="52" t="inlineStr">
        <is>
          <t>5年1班</t>
        </is>
      </c>
      <c r="D52" s="44" t="n">
        <v>2</v>
      </c>
      <c r="E52" s="52" t="inlineStr">
        <is>
          <t>原班教室</t>
        </is>
      </c>
      <c r="F52" s="44" t="n"/>
      <c r="G52" s="44" t="n"/>
      <c r="H52" s="56">
        <f>IF(A52="","",SUMIF($A$5:$A$304,A52,$D$5:$D$304))</f>
        <v/>
      </c>
    </row>
    <row r="53" ht="15" customHeight="1" s="36">
      <c r="A53" s="44" t="inlineStr">
        <is>
          <t>英語丁</t>
        </is>
      </c>
      <c r="B53" s="52" t="inlineStr">
        <is>
          <t>英語</t>
        </is>
      </c>
      <c r="C53" s="52" t="inlineStr">
        <is>
          <t>5年2班</t>
        </is>
      </c>
      <c r="D53" s="44" t="n">
        <v>2</v>
      </c>
      <c r="E53" s="52" t="inlineStr">
        <is>
          <t>原班教室</t>
        </is>
      </c>
      <c r="F53" s="44" t="n"/>
      <c r="G53" s="44" t="n"/>
      <c r="H53" s="56">
        <f>IF(A53="","",SUMIF($A$5:$A$304,A53,$D$5:$D$304))</f>
        <v/>
      </c>
    </row>
    <row r="54" ht="15" customHeight="1" s="36">
      <c r="A54" s="44" t="inlineStr">
        <is>
          <t>英語丁</t>
        </is>
      </c>
      <c r="B54" s="52" t="inlineStr">
        <is>
          <t>英語</t>
        </is>
      </c>
      <c r="C54" s="52" t="inlineStr">
        <is>
          <t>5年3班</t>
        </is>
      </c>
      <c r="D54" s="44" t="n">
        <v>2</v>
      </c>
      <c r="E54" s="52" t="inlineStr">
        <is>
          <t>原班教室</t>
        </is>
      </c>
      <c r="F54" s="44" t="n"/>
      <c r="G54" s="44" t="n"/>
      <c r="H54" s="56">
        <f>IF(A54="","",SUMIF($A$5:$A$304,A54,$D$5:$D$304))</f>
        <v/>
      </c>
    </row>
    <row r="55" ht="15" customHeight="1" s="36">
      <c r="A55" s="44" t="inlineStr">
        <is>
          <t>英語丁</t>
        </is>
      </c>
      <c r="B55" s="52" t="inlineStr">
        <is>
          <t>英語</t>
        </is>
      </c>
      <c r="C55" s="52" t="inlineStr">
        <is>
          <t>5年4班</t>
        </is>
      </c>
      <c r="D55" s="44" t="n">
        <v>2</v>
      </c>
      <c r="E55" s="52" t="inlineStr">
        <is>
          <t>原班教室</t>
        </is>
      </c>
      <c r="F55" s="44" t="n"/>
      <c r="G55" s="44" t="n"/>
      <c r="H55" s="56">
        <f>IF(A55="","",SUMIF($A$5:$A$304,A55,$D$5:$D$304))</f>
        <v/>
      </c>
    </row>
    <row r="56" ht="15" customHeight="1" s="36">
      <c r="A56" s="44" t="inlineStr">
        <is>
          <t>英語戊</t>
        </is>
      </c>
      <c r="B56" s="52" t="inlineStr">
        <is>
          <t>英語</t>
        </is>
      </c>
      <c r="C56" s="52" t="inlineStr">
        <is>
          <t>5年5班</t>
        </is>
      </c>
      <c r="D56" s="44" t="n">
        <v>2</v>
      </c>
      <c r="E56" s="52" t="inlineStr">
        <is>
          <t>原班教室</t>
        </is>
      </c>
      <c r="F56" s="44" t="n"/>
      <c r="G56" s="44" t="n"/>
      <c r="H56" s="56">
        <f>IF(A56="","",SUMIF($A$5:$A$304,A56,$D$5:$D$304))</f>
        <v/>
      </c>
    </row>
    <row r="57" ht="15" customHeight="1" s="36">
      <c r="A57" s="44" t="inlineStr">
        <is>
          <t>英語戊</t>
        </is>
      </c>
      <c r="B57" s="52" t="inlineStr">
        <is>
          <t>英語</t>
        </is>
      </c>
      <c r="C57" s="52" t="inlineStr">
        <is>
          <t>5年6班</t>
        </is>
      </c>
      <c r="D57" s="44" t="n">
        <v>2</v>
      </c>
      <c r="E57" s="52" t="inlineStr">
        <is>
          <t>原班教室</t>
        </is>
      </c>
      <c r="F57" s="44" t="n"/>
      <c r="G57" s="44" t="n"/>
      <c r="H57" s="56">
        <f>IF(A57="","",SUMIF($A$5:$A$304,A57,$D$5:$D$304))</f>
        <v/>
      </c>
    </row>
    <row r="58" ht="15" customHeight="1" s="36">
      <c r="A58" s="44" t="inlineStr">
        <is>
          <t>英語戊</t>
        </is>
      </c>
      <c r="B58" s="52" t="inlineStr">
        <is>
          <t>英語</t>
        </is>
      </c>
      <c r="C58" s="52" t="inlineStr">
        <is>
          <t>5年7班</t>
        </is>
      </c>
      <c r="D58" s="44" t="n">
        <v>2</v>
      </c>
      <c r="E58" s="52" t="inlineStr">
        <is>
          <t>原班教室</t>
        </is>
      </c>
      <c r="F58" s="44" t="n"/>
      <c r="G58" s="44" t="n"/>
      <c r="H58" s="56">
        <f>IF(A58="","",SUMIF($A$5:$A$304,A58,$D$5:$D$304))</f>
        <v/>
      </c>
    </row>
    <row r="59" ht="15" customHeight="1" s="36">
      <c r="A59" s="44" t="inlineStr">
        <is>
          <t>英語戊</t>
        </is>
      </c>
      <c r="B59" s="52" t="inlineStr">
        <is>
          <t>英語</t>
        </is>
      </c>
      <c r="C59" s="52" t="inlineStr">
        <is>
          <t>5年8班</t>
        </is>
      </c>
      <c r="D59" s="44" t="n">
        <v>2</v>
      </c>
      <c r="E59" s="52" t="inlineStr">
        <is>
          <t>原班教室</t>
        </is>
      </c>
      <c r="F59" s="44" t="n"/>
      <c r="G59" s="44" t="n"/>
      <c r="H59" s="56">
        <f>IF(A59="","",SUMIF($A$5:$A$304,A59,$D$5:$D$304))</f>
        <v/>
      </c>
    </row>
    <row r="60" ht="15" customHeight="1" s="36">
      <c r="A60" s="44" t="inlineStr">
        <is>
          <t>英語戊</t>
        </is>
      </c>
      <c r="B60" s="52" t="inlineStr">
        <is>
          <t>英語</t>
        </is>
      </c>
      <c r="C60" s="52" t="inlineStr">
        <is>
          <t>5年9班</t>
        </is>
      </c>
      <c r="D60" s="44" t="n">
        <v>2</v>
      </c>
      <c r="E60" s="52" t="inlineStr">
        <is>
          <t>原班教室</t>
        </is>
      </c>
      <c r="F60" s="44" t="n"/>
      <c r="G60" s="44" t="n"/>
      <c r="H60" s="56">
        <f>IF(A60="","",SUMIF($A$5:$A$304,A60,$D$5:$D$304))</f>
        <v/>
      </c>
    </row>
    <row r="61" ht="15" customHeight="1" s="36">
      <c r="A61" s="44" t="inlineStr">
        <is>
          <t>英語戊</t>
        </is>
      </c>
      <c r="B61" s="52" t="inlineStr">
        <is>
          <t>英語</t>
        </is>
      </c>
      <c r="C61" s="52" t="inlineStr">
        <is>
          <t>5年10班</t>
        </is>
      </c>
      <c r="D61" s="44" t="n">
        <v>2</v>
      </c>
      <c r="E61" s="52" t="inlineStr">
        <is>
          <t>原班教室</t>
        </is>
      </c>
      <c r="F61" s="44" t="n"/>
      <c r="G61" s="44" t="n"/>
      <c r="H61" s="56">
        <f>IF(A61="","",SUMIF($A$5:$A$304,A61,$D$5:$D$304))</f>
        <v/>
      </c>
    </row>
    <row r="62" ht="15" customHeight="1" s="36">
      <c r="A62" s="44" t="inlineStr">
        <is>
          <t>英語戊</t>
        </is>
      </c>
      <c r="B62" s="52" t="inlineStr">
        <is>
          <t>英語</t>
        </is>
      </c>
      <c r="C62" s="52" t="inlineStr">
        <is>
          <t>5年11班</t>
        </is>
      </c>
      <c r="D62" s="44" t="n">
        <v>2</v>
      </c>
      <c r="E62" s="52" t="inlineStr">
        <is>
          <t>原班教室</t>
        </is>
      </c>
      <c r="F62" s="44" t="n"/>
      <c r="G62" s="44" t="n"/>
      <c r="H62" s="56">
        <f>IF(A62="","",SUMIF($A$5:$A$304,A62,$D$5:$D$304))</f>
        <v/>
      </c>
    </row>
    <row r="63" ht="15" customHeight="1" s="36">
      <c r="A63" s="44" t="inlineStr">
        <is>
          <t>英語戊</t>
        </is>
      </c>
      <c r="B63" s="52" t="inlineStr">
        <is>
          <t>英語</t>
        </is>
      </c>
      <c r="C63" s="52" t="inlineStr">
        <is>
          <t>5年12班</t>
        </is>
      </c>
      <c r="D63" s="44" t="n">
        <v>2</v>
      </c>
      <c r="E63" s="52" t="inlineStr">
        <is>
          <t>原班教室</t>
        </is>
      </c>
      <c r="F63" s="44" t="n"/>
      <c r="G63" s="44" t="n"/>
      <c r="H63" s="56">
        <f>IF(A63="","",SUMIF($A$5:$A$304,A63,$D$5:$D$304))</f>
        <v/>
      </c>
    </row>
    <row r="64" ht="15" customHeight="1" s="36">
      <c r="A64" s="44" t="inlineStr">
        <is>
          <t>英語戊</t>
        </is>
      </c>
      <c r="B64" s="52" t="inlineStr">
        <is>
          <t>英語</t>
        </is>
      </c>
      <c r="C64" s="52" t="inlineStr">
        <is>
          <t>6年1班</t>
        </is>
      </c>
      <c r="D64" s="44" t="n">
        <v>2</v>
      </c>
      <c r="E64" s="52" t="inlineStr">
        <is>
          <t>原班教室</t>
        </is>
      </c>
      <c r="F64" s="44" t="n"/>
      <c r="G64" s="44" t="n"/>
      <c r="H64" s="56">
        <f>IF(A64="","",SUMIF($A$5:$A$304,A64,$D$5:$D$304))</f>
        <v/>
      </c>
    </row>
    <row r="65" ht="15" customHeight="1" s="36">
      <c r="A65" s="44" t="inlineStr">
        <is>
          <t>英語戊</t>
        </is>
      </c>
      <c r="B65" s="52" t="inlineStr">
        <is>
          <t>英語</t>
        </is>
      </c>
      <c r="C65" s="52" t="inlineStr">
        <is>
          <t>6年2班</t>
        </is>
      </c>
      <c r="D65" s="44" t="n">
        <v>2</v>
      </c>
      <c r="E65" s="52" t="inlineStr">
        <is>
          <t>原班教室</t>
        </is>
      </c>
      <c r="F65" s="44" t="n"/>
      <c r="G65" s="44" t="n"/>
      <c r="H65" s="56">
        <f>IF(A65="","",SUMIF($A$5:$A$304,A65,$D$5:$D$304))</f>
        <v/>
      </c>
    </row>
    <row r="66" ht="15" customHeight="1" s="36">
      <c r="A66" s="44" t="inlineStr">
        <is>
          <t>英語己</t>
        </is>
      </c>
      <c r="B66" s="52" t="inlineStr">
        <is>
          <t>英語</t>
        </is>
      </c>
      <c r="C66" s="52" t="inlineStr">
        <is>
          <t>6年3班</t>
        </is>
      </c>
      <c r="D66" s="44" t="n">
        <v>2</v>
      </c>
      <c r="E66" s="52" t="inlineStr">
        <is>
          <t>原班教室</t>
        </is>
      </c>
      <c r="F66" s="44" t="n"/>
      <c r="G66" s="44" t="n"/>
      <c r="H66" s="56">
        <f>IF(A66="","",SUMIF($A$5:$A$304,A66,$D$5:$D$304))</f>
        <v/>
      </c>
    </row>
    <row r="67" ht="15" customHeight="1" s="36">
      <c r="A67" s="44" t="inlineStr">
        <is>
          <t>英語己</t>
        </is>
      </c>
      <c r="B67" s="52" t="inlineStr">
        <is>
          <t>英語</t>
        </is>
      </c>
      <c r="C67" s="52" t="inlineStr">
        <is>
          <t>6年4班</t>
        </is>
      </c>
      <c r="D67" s="44" t="n">
        <v>2</v>
      </c>
      <c r="E67" s="52" t="inlineStr">
        <is>
          <t>原班教室</t>
        </is>
      </c>
      <c r="F67" s="44" t="n"/>
      <c r="G67" s="44" t="n"/>
      <c r="H67" s="56">
        <f>IF(A67="","",SUMIF($A$5:$A$304,A67,$D$5:$D$304))</f>
        <v/>
      </c>
    </row>
    <row r="68" ht="15" customHeight="1" s="36">
      <c r="A68" s="44" t="inlineStr">
        <is>
          <t>英語己</t>
        </is>
      </c>
      <c r="B68" s="52" t="inlineStr">
        <is>
          <t>英語</t>
        </is>
      </c>
      <c r="C68" s="52" t="inlineStr">
        <is>
          <t>6年5班</t>
        </is>
      </c>
      <c r="D68" s="44" t="n">
        <v>2</v>
      </c>
      <c r="E68" s="52" t="inlineStr">
        <is>
          <t>原班教室</t>
        </is>
      </c>
      <c r="F68" s="44" t="n"/>
      <c r="G68" s="44" t="n"/>
      <c r="H68" s="56">
        <f>IF(A68="","",SUMIF($A$5:$A$304,A68,$D$5:$D$304))</f>
        <v/>
      </c>
    </row>
    <row r="69" ht="15" customHeight="1" s="36">
      <c r="A69" s="44" t="inlineStr">
        <is>
          <t>英語己</t>
        </is>
      </c>
      <c r="B69" s="52" t="inlineStr">
        <is>
          <t>英語</t>
        </is>
      </c>
      <c r="C69" s="52" t="inlineStr">
        <is>
          <t>6年6班</t>
        </is>
      </c>
      <c r="D69" s="44" t="n">
        <v>2</v>
      </c>
      <c r="E69" s="52" t="inlineStr">
        <is>
          <t>原班教室</t>
        </is>
      </c>
      <c r="F69" s="44" t="n"/>
      <c r="G69" s="44" t="n"/>
      <c r="H69" s="56">
        <f>IF(A69="","",SUMIF($A$5:$A$304,A69,$D$5:$D$304))</f>
        <v/>
      </c>
    </row>
    <row r="70" ht="15" customHeight="1" s="36">
      <c r="A70" s="44" t="inlineStr">
        <is>
          <t>英語己</t>
        </is>
      </c>
      <c r="B70" s="52" t="inlineStr">
        <is>
          <t>英語</t>
        </is>
      </c>
      <c r="C70" s="52" t="inlineStr">
        <is>
          <t>6年7班</t>
        </is>
      </c>
      <c r="D70" s="44" t="n">
        <v>2</v>
      </c>
      <c r="E70" s="52" t="inlineStr">
        <is>
          <t>原班教室</t>
        </is>
      </c>
      <c r="F70" s="44" t="n"/>
      <c r="G70" s="44" t="n"/>
      <c r="H70" s="56">
        <f>IF(A70="","",SUMIF($A$5:$A$304,A70,$D$5:$D$304))</f>
        <v/>
      </c>
    </row>
    <row r="71" ht="15" customHeight="1" s="36">
      <c r="A71" s="44" t="inlineStr">
        <is>
          <t>英語己</t>
        </is>
      </c>
      <c r="B71" s="52" t="inlineStr">
        <is>
          <t>英語</t>
        </is>
      </c>
      <c r="C71" s="52" t="inlineStr">
        <is>
          <t>6年8班</t>
        </is>
      </c>
      <c r="D71" s="44" t="n">
        <v>2</v>
      </c>
      <c r="E71" s="52" t="inlineStr">
        <is>
          <t>原班教室</t>
        </is>
      </c>
      <c r="F71" s="44" t="n"/>
      <c r="G71" s="44" t="n"/>
      <c r="H71" s="56">
        <f>IF(A71="","",SUMIF($A$5:$A$304,A71,$D$5:$D$304))</f>
        <v/>
      </c>
    </row>
    <row r="72" ht="15" customHeight="1" s="36">
      <c r="A72" s="44" t="inlineStr">
        <is>
          <t>英語己</t>
        </is>
      </c>
      <c r="B72" s="52" t="inlineStr">
        <is>
          <t>英語</t>
        </is>
      </c>
      <c r="C72" s="52" t="inlineStr">
        <is>
          <t>6年9班</t>
        </is>
      </c>
      <c r="D72" s="44" t="n">
        <v>2</v>
      </c>
      <c r="E72" s="52" t="inlineStr">
        <is>
          <t>原班教室</t>
        </is>
      </c>
      <c r="F72" s="44" t="n"/>
      <c r="G72" s="44" t="n"/>
      <c r="H72" s="56">
        <f>IF(A72="","",SUMIF($A$5:$A$304,A72,$D$5:$D$304))</f>
        <v/>
      </c>
    </row>
    <row r="73" ht="15" customHeight="1" s="36">
      <c r="A73" s="44" t="inlineStr">
        <is>
          <t>英語己</t>
        </is>
      </c>
      <c r="B73" s="52" t="inlineStr">
        <is>
          <t>英語</t>
        </is>
      </c>
      <c r="C73" s="52" t="inlineStr">
        <is>
          <t>6年10班</t>
        </is>
      </c>
      <c r="D73" s="44" t="n">
        <v>2</v>
      </c>
      <c r="E73" s="52" t="inlineStr">
        <is>
          <t>原班教室</t>
        </is>
      </c>
      <c r="F73" s="44" t="n"/>
      <c r="G73" s="44" t="n"/>
      <c r="H73" s="56">
        <f>IF(A73="","",SUMIF($A$5:$A$304,A73,$D$5:$D$304))</f>
        <v/>
      </c>
    </row>
    <row r="74" ht="15" customHeight="1" s="36">
      <c r="A74" s="44" t="inlineStr">
        <is>
          <t>英語己</t>
        </is>
      </c>
      <c r="B74" s="52" t="inlineStr">
        <is>
          <t>英語</t>
        </is>
      </c>
      <c r="C74" s="52" t="inlineStr">
        <is>
          <t>6年11班</t>
        </is>
      </c>
      <c r="D74" s="44" t="n">
        <v>2</v>
      </c>
      <c r="E74" s="52" t="inlineStr">
        <is>
          <t>原班教室</t>
        </is>
      </c>
      <c r="F74" s="44" t="n"/>
      <c r="G74" s="44" t="n"/>
      <c r="H74" s="56">
        <f>IF(A74="","",SUMIF($A$5:$A$304,A74,$D$5:$D$304))</f>
        <v/>
      </c>
    </row>
    <row r="75" ht="15" customHeight="1" s="36">
      <c r="A75" s="44" t="inlineStr">
        <is>
          <t>英語己</t>
        </is>
      </c>
      <c r="B75" s="52" t="inlineStr">
        <is>
          <t>英語</t>
        </is>
      </c>
      <c r="C75" s="52" t="inlineStr">
        <is>
          <t>6年12班</t>
        </is>
      </c>
      <c r="D75" s="44" t="n">
        <v>2</v>
      </c>
      <c r="E75" s="52" t="inlineStr">
        <is>
          <t>原班教室</t>
        </is>
      </c>
      <c r="F75" s="44" t="n"/>
      <c r="G75" s="44" t="n"/>
      <c r="H75" s="56">
        <f>IF(A75="","",SUMIF($A$5:$A$304,A75,$D$5:$D$304))</f>
        <v/>
      </c>
    </row>
    <row r="76" ht="15" customHeight="1" s="36">
      <c r="A76" s="44" t="inlineStr">
        <is>
          <t>體育甲</t>
        </is>
      </c>
      <c r="B76" s="52" t="inlineStr">
        <is>
          <t>體育</t>
        </is>
      </c>
      <c r="C76" s="52" t="inlineStr">
        <is>
          <t>1年1班</t>
        </is>
      </c>
      <c r="D76" s="44" t="n">
        <v>1</v>
      </c>
      <c r="E76" s="52" t="inlineStr">
        <is>
          <t>操場／體育館</t>
        </is>
      </c>
      <c r="F76" s="44" t="n"/>
      <c r="G76" s="44" t="n"/>
      <c r="H76" s="56">
        <f>IF(A76="","",SUMIF($A$5:$A$304,A76,$D$5:$D$304))</f>
        <v/>
      </c>
    </row>
    <row r="77" ht="15" customHeight="1" s="36">
      <c r="A77" s="44" t="inlineStr">
        <is>
          <t>體育甲</t>
        </is>
      </c>
      <c r="B77" s="52" t="inlineStr">
        <is>
          <t>體育</t>
        </is>
      </c>
      <c r="C77" s="52" t="inlineStr">
        <is>
          <t>1年2班</t>
        </is>
      </c>
      <c r="D77" s="44" t="n">
        <v>1</v>
      </c>
      <c r="E77" s="52" t="inlineStr">
        <is>
          <t>操場／體育館</t>
        </is>
      </c>
      <c r="F77" s="44" t="n"/>
      <c r="G77" s="44" t="n"/>
      <c r="H77" s="56">
        <f>IF(A77="","",SUMIF($A$5:$A$304,A77,$D$5:$D$304))</f>
        <v/>
      </c>
    </row>
    <row r="78" ht="15" customHeight="1" s="36">
      <c r="A78" s="44" t="inlineStr">
        <is>
          <t>體育甲</t>
        </is>
      </c>
      <c r="B78" s="52" t="inlineStr">
        <is>
          <t>體育</t>
        </is>
      </c>
      <c r="C78" s="52" t="inlineStr">
        <is>
          <t>1年3班</t>
        </is>
      </c>
      <c r="D78" s="44" t="n">
        <v>1</v>
      </c>
      <c r="E78" s="52" t="inlineStr">
        <is>
          <t>操場／體育館</t>
        </is>
      </c>
      <c r="F78" s="44" t="n"/>
      <c r="G78" s="44" t="n"/>
      <c r="H78" s="56">
        <f>IF(A78="","",SUMIF($A$5:$A$304,A78,$D$5:$D$304))</f>
        <v/>
      </c>
    </row>
    <row r="79" ht="15" customHeight="1" s="36">
      <c r="A79" s="44" t="inlineStr">
        <is>
          <t>體育甲</t>
        </is>
      </c>
      <c r="B79" s="52" t="inlineStr">
        <is>
          <t>體育</t>
        </is>
      </c>
      <c r="C79" s="52" t="inlineStr">
        <is>
          <t>1年4班</t>
        </is>
      </c>
      <c r="D79" s="44" t="n">
        <v>1</v>
      </c>
      <c r="E79" s="52" t="inlineStr">
        <is>
          <t>操場／體育館</t>
        </is>
      </c>
      <c r="F79" s="44" t="n"/>
      <c r="G79" s="44" t="n"/>
      <c r="H79" s="56">
        <f>IF(A79="","",SUMIF($A$5:$A$304,A79,$D$5:$D$304))</f>
        <v/>
      </c>
    </row>
    <row r="80" ht="15" customHeight="1" s="36">
      <c r="A80" s="44" t="inlineStr">
        <is>
          <t>體育甲</t>
        </is>
      </c>
      <c r="B80" s="52" t="inlineStr">
        <is>
          <t>體育</t>
        </is>
      </c>
      <c r="C80" s="52" t="inlineStr">
        <is>
          <t>1年5班</t>
        </is>
      </c>
      <c r="D80" s="44" t="n">
        <v>1</v>
      </c>
      <c r="E80" s="52" t="inlineStr">
        <is>
          <t>操場／體育館</t>
        </is>
      </c>
      <c r="F80" s="44" t="n"/>
      <c r="G80" s="44" t="n"/>
      <c r="H80" s="56">
        <f>IF(A80="","",SUMIF($A$5:$A$304,A80,$D$5:$D$304))</f>
        <v/>
      </c>
    </row>
    <row r="81" ht="15" customHeight="1" s="36">
      <c r="A81" s="44" t="inlineStr">
        <is>
          <t>體育甲</t>
        </is>
      </c>
      <c r="B81" s="52" t="inlineStr">
        <is>
          <t>體育</t>
        </is>
      </c>
      <c r="C81" s="52" t="inlineStr">
        <is>
          <t>1年6班</t>
        </is>
      </c>
      <c r="D81" s="44" t="n">
        <v>1</v>
      </c>
      <c r="E81" s="52" t="inlineStr">
        <is>
          <t>操場／體育館</t>
        </is>
      </c>
      <c r="F81" s="44" t="n"/>
      <c r="G81" s="44" t="n"/>
      <c r="H81" s="56">
        <f>IF(A81="","",SUMIF($A$5:$A$304,A81,$D$5:$D$304))</f>
        <v/>
      </c>
    </row>
    <row r="82" ht="15" customHeight="1" s="36">
      <c r="A82" s="44" t="inlineStr">
        <is>
          <t>體育甲</t>
        </is>
      </c>
      <c r="B82" s="52" t="inlineStr">
        <is>
          <t>體育</t>
        </is>
      </c>
      <c r="C82" s="52" t="inlineStr">
        <is>
          <t>1年7班</t>
        </is>
      </c>
      <c r="D82" s="44" t="n">
        <v>1</v>
      </c>
      <c r="E82" s="52" t="inlineStr">
        <is>
          <t>操場／體育館</t>
        </is>
      </c>
      <c r="F82" s="44" t="n"/>
      <c r="G82" s="44" t="n"/>
      <c r="H82" s="56">
        <f>IF(A82="","",SUMIF($A$5:$A$304,A82,$D$5:$D$304))</f>
        <v/>
      </c>
    </row>
    <row r="83" ht="15" customHeight="1" s="36">
      <c r="A83" s="44" t="inlineStr">
        <is>
          <t>體育甲</t>
        </is>
      </c>
      <c r="B83" s="52" t="inlineStr">
        <is>
          <t>體育</t>
        </is>
      </c>
      <c r="C83" s="52" t="inlineStr">
        <is>
          <t>1年8班</t>
        </is>
      </c>
      <c r="D83" s="44" t="n">
        <v>1</v>
      </c>
      <c r="E83" s="52" t="inlineStr">
        <is>
          <t>操場／體育館</t>
        </is>
      </c>
      <c r="F83" s="44" t="n"/>
      <c r="G83" s="44" t="n"/>
      <c r="H83" s="56">
        <f>IF(A83="","",SUMIF($A$5:$A$304,A83,$D$5:$D$304))</f>
        <v/>
      </c>
    </row>
    <row r="84" ht="15" customHeight="1" s="36">
      <c r="A84" s="44" t="inlineStr">
        <is>
          <t>體育甲</t>
        </is>
      </c>
      <c r="B84" s="52" t="inlineStr">
        <is>
          <t>體育</t>
        </is>
      </c>
      <c r="C84" s="52" t="inlineStr">
        <is>
          <t>1年9班</t>
        </is>
      </c>
      <c r="D84" s="44" t="n">
        <v>1</v>
      </c>
      <c r="E84" s="52" t="inlineStr">
        <is>
          <t>操場／體育館</t>
        </is>
      </c>
      <c r="F84" s="44" t="n"/>
      <c r="G84" s="44" t="n"/>
      <c r="H84" s="56">
        <f>IF(A84="","",SUMIF($A$5:$A$304,A84,$D$5:$D$304))</f>
        <v/>
      </c>
    </row>
    <row r="85" ht="15" customHeight="1" s="36">
      <c r="A85" s="44" t="inlineStr">
        <is>
          <t>體育甲</t>
        </is>
      </c>
      <c r="B85" s="52" t="inlineStr">
        <is>
          <t>體育</t>
        </is>
      </c>
      <c r="C85" s="52" t="inlineStr">
        <is>
          <t>1年10班</t>
        </is>
      </c>
      <c r="D85" s="44" t="n">
        <v>1</v>
      </c>
      <c r="E85" s="52" t="inlineStr">
        <is>
          <t>操場／體育館</t>
        </is>
      </c>
      <c r="F85" s="44" t="n"/>
      <c r="G85" s="44" t="n"/>
      <c r="H85" s="56">
        <f>IF(A85="","",SUMIF($A$5:$A$304,A85,$D$5:$D$304))</f>
        <v/>
      </c>
    </row>
    <row r="86" ht="15" customHeight="1" s="36">
      <c r="A86" s="44" t="inlineStr">
        <is>
          <t>體育甲</t>
        </is>
      </c>
      <c r="B86" s="52" t="inlineStr">
        <is>
          <t>體育</t>
        </is>
      </c>
      <c r="C86" s="52" t="inlineStr">
        <is>
          <t>1年11班</t>
        </is>
      </c>
      <c r="D86" s="44" t="n">
        <v>1</v>
      </c>
      <c r="E86" s="52" t="inlineStr">
        <is>
          <t>操場／體育館</t>
        </is>
      </c>
      <c r="F86" s="44" t="n"/>
      <c r="G86" s="44" t="n"/>
      <c r="H86" s="56">
        <f>IF(A86="","",SUMIF($A$5:$A$304,A86,$D$5:$D$304))</f>
        <v/>
      </c>
    </row>
    <row r="87" ht="15" customHeight="1" s="36">
      <c r="A87" s="44" t="inlineStr">
        <is>
          <t>體育甲</t>
        </is>
      </c>
      <c r="B87" s="52" t="inlineStr">
        <is>
          <t>體育</t>
        </is>
      </c>
      <c r="C87" s="52" t="inlineStr">
        <is>
          <t>1年12班</t>
        </is>
      </c>
      <c r="D87" s="44" t="n">
        <v>1</v>
      </c>
      <c r="E87" s="52" t="inlineStr">
        <is>
          <t>操場／體育館</t>
        </is>
      </c>
      <c r="F87" s="44" t="n"/>
      <c r="G87" s="44" t="n"/>
      <c r="H87" s="56">
        <f>IF(A87="","",SUMIF($A$5:$A$304,A87,$D$5:$D$304))</f>
        <v/>
      </c>
    </row>
    <row r="88" ht="15" customHeight="1" s="36">
      <c r="A88" s="44" t="inlineStr">
        <is>
          <t>體育甲</t>
        </is>
      </c>
      <c r="B88" s="52" t="inlineStr">
        <is>
          <t>體育</t>
        </is>
      </c>
      <c r="C88" s="52" t="inlineStr">
        <is>
          <t>2年1班</t>
        </is>
      </c>
      <c r="D88" s="44" t="n">
        <v>1</v>
      </c>
      <c r="E88" s="52" t="inlineStr">
        <is>
          <t>操場／體育館</t>
        </is>
      </c>
      <c r="F88" s="44" t="n"/>
      <c r="G88" s="44" t="n"/>
      <c r="H88" s="56">
        <f>IF(A88="","",SUMIF($A$5:$A$304,A88,$D$5:$D$304))</f>
        <v/>
      </c>
    </row>
    <row r="89" ht="15" customHeight="1" s="36">
      <c r="A89" s="44" t="inlineStr">
        <is>
          <t>體育甲</t>
        </is>
      </c>
      <c r="B89" s="52" t="inlineStr">
        <is>
          <t>體育</t>
        </is>
      </c>
      <c r="C89" s="52" t="inlineStr">
        <is>
          <t>2年2班</t>
        </is>
      </c>
      <c r="D89" s="44" t="n">
        <v>1</v>
      </c>
      <c r="E89" s="52" t="inlineStr">
        <is>
          <t>操場／體育館</t>
        </is>
      </c>
      <c r="F89" s="44" t="n"/>
      <c r="G89" s="44" t="n"/>
      <c r="H89" s="56">
        <f>IF(A89="","",SUMIF($A$5:$A$304,A89,$D$5:$D$304))</f>
        <v/>
      </c>
    </row>
    <row r="90" ht="15" customHeight="1" s="36">
      <c r="A90" s="44" t="inlineStr">
        <is>
          <t>體育甲</t>
        </is>
      </c>
      <c r="B90" s="52" t="inlineStr">
        <is>
          <t>體育</t>
        </is>
      </c>
      <c r="C90" s="52" t="inlineStr">
        <is>
          <t>2年3班</t>
        </is>
      </c>
      <c r="D90" s="44" t="n">
        <v>1</v>
      </c>
      <c r="E90" s="52" t="inlineStr">
        <is>
          <t>操場／體育館</t>
        </is>
      </c>
      <c r="F90" s="44" t="n"/>
      <c r="G90" s="44" t="n"/>
      <c r="H90" s="56">
        <f>IF(A90="","",SUMIF($A$5:$A$304,A90,$D$5:$D$304))</f>
        <v/>
      </c>
    </row>
    <row r="91" ht="15" customHeight="1" s="36">
      <c r="A91" s="44" t="inlineStr">
        <is>
          <t>體育甲</t>
        </is>
      </c>
      <c r="B91" s="52" t="inlineStr">
        <is>
          <t>體育</t>
        </is>
      </c>
      <c r="C91" s="52" t="inlineStr">
        <is>
          <t>2年4班</t>
        </is>
      </c>
      <c r="D91" s="44" t="n">
        <v>1</v>
      </c>
      <c r="E91" s="52" t="inlineStr">
        <is>
          <t>操場／體育館</t>
        </is>
      </c>
      <c r="F91" s="44" t="n"/>
      <c r="G91" s="44" t="n"/>
      <c r="H91" s="56">
        <f>IF(A91="","",SUMIF($A$5:$A$304,A91,$D$5:$D$304))</f>
        <v/>
      </c>
    </row>
    <row r="92" ht="15" customHeight="1" s="36">
      <c r="A92" s="44" t="inlineStr">
        <is>
          <t>體育甲</t>
        </is>
      </c>
      <c r="B92" s="52" t="inlineStr">
        <is>
          <t>體育</t>
        </is>
      </c>
      <c r="C92" s="52" t="inlineStr">
        <is>
          <t>2年5班</t>
        </is>
      </c>
      <c r="D92" s="44" t="n">
        <v>1</v>
      </c>
      <c r="E92" s="52" t="inlineStr">
        <is>
          <t>操場／體育館</t>
        </is>
      </c>
      <c r="F92" s="44" t="n"/>
      <c r="G92" s="44" t="n"/>
      <c r="H92" s="56">
        <f>IF(A92="","",SUMIF($A$5:$A$304,A92,$D$5:$D$304))</f>
        <v/>
      </c>
    </row>
    <row r="93" ht="15" customHeight="1" s="36">
      <c r="A93" s="44" t="inlineStr">
        <is>
          <t>體育甲</t>
        </is>
      </c>
      <c r="B93" s="52" t="inlineStr">
        <is>
          <t>體育</t>
        </is>
      </c>
      <c r="C93" s="52" t="inlineStr">
        <is>
          <t>2年6班</t>
        </is>
      </c>
      <c r="D93" s="44" t="n">
        <v>1</v>
      </c>
      <c r="E93" s="52" t="inlineStr">
        <is>
          <t>操場／體育館</t>
        </is>
      </c>
      <c r="F93" s="44" t="n"/>
      <c r="G93" s="44" t="n"/>
      <c r="H93" s="56">
        <f>IF(A93="","",SUMIF($A$5:$A$304,A93,$D$5:$D$304))</f>
        <v/>
      </c>
    </row>
    <row r="94" ht="15" customHeight="1" s="36">
      <c r="A94" s="44" t="inlineStr">
        <is>
          <t>體育甲</t>
        </is>
      </c>
      <c r="B94" s="52" t="inlineStr">
        <is>
          <t>體育</t>
        </is>
      </c>
      <c r="C94" s="52" t="inlineStr">
        <is>
          <t>2年7班</t>
        </is>
      </c>
      <c r="D94" s="44" t="n">
        <v>1</v>
      </c>
      <c r="E94" s="52" t="inlineStr">
        <is>
          <t>操場／體育館</t>
        </is>
      </c>
      <c r="F94" s="44" t="n"/>
      <c r="G94" s="44" t="n"/>
      <c r="H94" s="56">
        <f>IF(A94="","",SUMIF($A$5:$A$304,A94,$D$5:$D$304))</f>
        <v/>
      </c>
    </row>
    <row r="95" ht="15" customHeight="1" s="36">
      <c r="A95" s="44" t="inlineStr">
        <is>
          <t>體育甲</t>
        </is>
      </c>
      <c r="B95" s="52" t="inlineStr">
        <is>
          <t>體育</t>
        </is>
      </c>
      <c r="C95" s="52" t="inlineStr">
        <is>
          <t>2年8班</t>
        </is>
      </c>
      <c r="D95" s="44" t="n">
        <v>1</v>
      </c>
      <c r="E95" s="52" t="inlineStr">
        <is>
          <t>操場／體育館</t>
        </is>
      </c>
      <c r="F95" s="44" t="n"/>
      <c r="G95" s="44" t="n"/>
      <c r="H95" s="56">
        <f>IF(A95="","",SUMIF($A$5:$A$304,A95,$D$5:$D$304))</f>
        <v/>
      </c>
    </row>
    <row r="96" ht="15" customHeight="1" s="36">
      <c r="A96" s="44" t="inlineStr">
        <is>
          <t>體育乙</t>
        </is>
      </c>
      <c r="B96" s="52" t="inlineStr">
        <is>
          <t>體育</t>
        </is>
      </c>
      <c r="C96" s="52" t="inlineStr">
        <is>
          <t>2年9班</t>
        </is>
      </c>
      <c r="D96" s="44" t="n">
        <v>1</v>
      </c>
      <c r="E96" s="52" t="inlineStr">
        <is>
          <t>操場／體育館</t>
        </is>
      </c>
      <c r="F96" s="44" t="n"/>
      <c r="G96" s="44" t="n"/>
      <c r="H96" s="56">
        <f>IF(A96="","",SUMIF($A$5:$A$304,A96,$D$5:$D$304))</f>
        <v/>
      </c>
    </row>
    <row r="97" ht="15" customHeight="1" s="36">
      <c r="A97" s="44" t="inlineStr">
        <is>
          <t>體育乙</t>
        </is>
      </c>
      <c r="B97" s="52" t="inlineStr">
        <is>
          <t>體育</t>
        </is>
      </c>
      <c r="C97" s="52" t="inlineStr">
        <is>
          <t>2年10班</t>
        </is>
      </c>
      <c r="D97" s="44" t="n">
        <v>1</v>
      </c>
      <c r="E97" s="52" t="inlineStr">
        <is>
          <t>操場／體育館</t>
        </is>
      </c>
      <c r="F97" s="44" t="n"/>
      <c r="G97" s="44" t="n"/>
      <c r="H97" s="56">
        <f>IF(A97="","",SUMIF($A$5:$A$304,A97,$D$5:$D$304))</f>
        <v/>
      </c>
    </row>
    <row r="98" ht="15" customHeight="1" s="36">
      <c r="A98" s="44" t="inlineStr">
        <is>
          <t>體育乙</t>
        </is>
      </c>
      <c r="B98" s="52" t="inlineStr">
        <is>
          <t>體育</t>
        </is>
      </c>
      <c r="C98" s="52" t="inlineStr">
        <is>
          <t>2年11班</t>
        </is>
      </c>
      <c r="D98" s="44" t="n">
        <v>1</v>
      </c>
      <c r="E98" s="52" t="inlineStr">
        <is>
          <t>操場／體育館</t>
        </is>
      </c>
      <c r="F98" s="44" t="n"/>
      <c r="G98" s="44" t="n"/>
      <c r="H98" s="56">
        <f>IF(A98="","",SUMIF($A$5:$A$304,A98,$D$5:$D$304))</f>
        <v/>
      </c>
    </row>
    <row r="99" ht="15" customHeight="1" s="36">
      <c r="A99" s="44" t="inlineStr">
        <is>
          <t>體育乙</t>
        </is>
      </c>
      <c r="B99" s="52" t="inlineStr">
        <is>
          <t>體育</t>
        </is>
      </c>
      <c r="C99" s="52" t="inlineStr">
        <is>
          <t>3年1班</t>
        </is>
      </c>
      <c r="D99" s="44" t="n">
        <v>2</v>
      </c>
      <c r="E99" s="52" t="inlineStr">
        <is>
          <t>操場／體育館</t>
        </is>
      </c>
      <c r="F99" s="44" t="n"/>
      <c r="G99" s="44" t="n"/>
      <c r="H99" s="56">
        <f>IF(A99="","",SUMIF($A$5:$A$304,A99,$D$5:$D$304))</f>
        <v/>
      </c>
    </row>
    <row r="100" ht="15" customHeight="1" s="36">
      <c r="A100" s="44" t="inlineStr">
        <is>
          <t>體育乙</t>
        </is>
      </c>
      <c r="B100" s="52" t="inlineStr">
        <is>
          <t>體育</t>
        </is>
      </c>
      <c r="C100" s="52" t="inlineStr">
        <is>
          <t>3年2班</t>
        </is>
      </c>
      <c r="D100" s="44" t="n">
        <v>2</v>
      </c>
      <c r="E100" s="52" t="inlineStr">
        <is>
          <t>操場／體育館</t>
        </is>
      </c>
      <c r="F100" s="44" t="n"/>
      <c r="G100" s="44" t="n"/>
      <c r="H100" s="56">
        <f>IF(A100="","",SUMIF($A$5:$A$304,A100,$D$5:$D$304))</f>
        <v/>
      </c>
    </row>
    <row r="101" ht="15" customHeight="1" s="36">
      <c r="A101" s="44" t="inlineStr">
        <is>
          <t>體育乙</t>
        </is>
      </c>
      <c r="B101" s="52" t="inlineStr">
        <is>
          <t>體育</t>
        </is>
      </c>
      <c r="C101" s="52" t="inlineStr">
        <is>
          <t>3年3班</t>
        </is>
      </c>
      <c r="D101" s="44" t="n">
        <v>2</v>
      </c>
      <c r="E101" s="52" t="inlineStr">
        <is>
          <t>操場／體育館</t>
        </is>
      </c>
      <c r="F101" s="44" t="n"/>
      <c r="G101" s="44" t="n"/>
      <c r="H101" s="56">
        <f>IF(A101="","",SUMIF($A$5:$A$304,A101,$D$5:$D$304))</f>
        <v/>
      </c>
    </row>
    <row r="102" ht="15" customHeight="1" s="36">
      <c r="A102" s="44" t="inlineStr">
        <is>
          <t>體育乙</t>
        </is>
      </c>
      <c r="B102" s="52" t="inlineStr">
        <is>
          <t>體育</t>
        </is>
      </c>
      <c r="C102" s="52" t="inlineStr">
        <is>
          <t>3年4班</t>
        </is>
      </c>
      <c r="D102" s="44" t="n">
        <v>2</v>
      </c>
      <c r="E102" s="52" t="inlineStr">
        <is>
          <t>操場／體育館</t>
        </is>
      </c>
      <c r="F102" s="44" t="n"/>
      <c r="G102" s="44" t="n"/>
      <c r="H102" s="56">
        <f>IF(A102="","",SUMIF($A$5:$A$304,A102,$D$5:$D$304))</f>
        <v/>
      </c>
    </row>
    <row r="103" ht="15" customHeight="1" s="36">
      <c r="A103" s="44" t="inlineStr">
        <is>
          <t>體育乙</t>
        </is>
      </c>
      <c r="B103" s="52" t="inlineStr">
        <is>
          <t>體育</t>
        </is>
      </c>
      <c r="C103" s="52" t="inlineStr">
        <is>
          <t>3年5班</t>
        </is>
      </c>
      <c r="D103" s="44" t="n">
        <v>2</v>
      </c>
      <c r="E103" s="52" t="inlineStr">
        <is>
          <t>操場／體育館</t>
        </is>
      </c>
      <c r="F103" s="44" t="n"/>
      <c r="G103" s="44" t="n"/>
      <c r="H103" s="56">
        <f>IF(A103="","",SUMIF($A$5:$A$304,A103,$D$5:$D$304))</f>
        <v/>
      </c>
    </row>
    <row r="104" ht="15" customHeight="1" s="36">
      <c r="A104" s="44" t="inlineStr">
        <is>
          <t>體育乙</t>
        </is>
      </c>
      <c r="B104" s="52" t="inlineStr">
        <is>
          <t>體育</t>
        </is>
      </c>
      <c r="C104" s="52" t="inlineStr">
        <is>
          <t>3年6班</t>
        </is>
      </c>
      <c r="D104" s="44" t="n">
        <v>2</v>
      </c>
      <c r="E104" s="52" t="inlineStr">
        <is>
          <t>操場／體育館</t>
        </is>
      </c>
      <c r="F104" s="44" t="n"/>
      <c r="G104" s="44" t="n"/>
      <c r="H104" s="56">
        <f>IF(A104="","",SUMIF($A$5:$A$304,A104,$D$5:$D$304))</f>
        <v/>
      </c>
    </row>
    <row r="105" ht="15" customHeight="1" s="36">
      <c r="A105" s="44" t="inlineStr">
        <is>
          <t>體育乙</t>
        </is>
      </c>
      <c r="B105" s="52" t="inlineStr">
        <is>
          <t>體育</t>
        </is>
      </c>
      <c r="C105" s="52" t="inlineStr">
        <is>
          <t>3年7班</t>
        </is>
      </c>
      <c r="D105" s="44" t="n">
        <v>2</v>
      </c>
      <c r="E105" s="52" t="inlineStr">
        <is>
          <t>操場／體育館</t>
        </is>
      </c>
      <c r="F105" s="44" t="n"/>
      <c r="G105" s="44" t="n"/>
      <c r="H105" s="56">
        <f>IF(A105="","",SUMIF($A$5:$A$304,A105,$D$5:$D$304))</f>
        <v/>
      </c>
    </row>
    <row r="106" ht="15" customHeight="1" s="36">
      <c r="A106" s="44" t="inlineStr">
        <is>
          <t>體育乙</t>
        </is>
      </c>
      <c r="B106" s="52" t="inlineStr">
        <is>
          <t>體育</t>
        </is>
      </c>
      <c r="C106" s="52" t="inlineStr">
        <is>
          <t>3年8班</t>
        </is>
      </c>
      <c r="D106" s="44" t="n">
        <v>2</v>
      </c>
      <c r="E106" s="52" t="inlineStr">
        <is>
          <t>操場／體育館</t>
        </is>
      </c>
      <c r="F106" s="44" t="n"/>
      <c r="G106" s="44" t="n"/>
      <c r="H106" s="56">
        <f>IF(A106="","",SUMIF($A$5:$A$304,A106,$D$5:$D$304))</f>
        <v/>
      </c>
    </row>
    <row r="107" ht="15" customHeight="1" s="36">
      <c r="A107" s="44" t="inlineStr">
        <is>
          <t>體育丙</t>
        </is>
      </c>
      <c r="B107" s="52" t="inlineStr">
        <is>
          <t>體育</t>
        </is>
      </c>
      <c r="C107" s="52" t="inlineStr">
        <is>
          <t>3年9班</t>
        </is>
      </c>
      <c r="D107" s="44" t="n">
        <v>2</v>
      </c>
      <c r="E107" s="52" t="inlineStr">
        <is>
          <t>操場／體育館</t>
        </is>
      </c>
      <c r="F107" s="44" t="n"/>
      <c r="G107" s="44" t="n"/>
      <c r="H107" s="56">
        <f>IF(A107="","",SUMIF($A$5:$A$304,A107,$D$5:$D$304))</f>
        <v/>
      </c>
    </row>
    <row r="108" ht="15" customHeight="1" s="36">
      <c r="A108" s="44" t="inlineStr">
        <is>
          <t>體育丙</t>
        </is>
      </c>
      <c r="B108" s="52" t="inlineStr">
        <is>
          <t>體育</t>
        </is>
      </c>
      <c r="C108" s="52" t="inlineStr">
        <is>
          <t>3年10班</t>
        </is>
      </c>
      <c r="D108" s="44" t="n">
        <v>2</v>
      </c>
      <c r="E108" s="52" t="inlineStr">
        <is>
          <t>操場／體育館</t>
        </is>
      </c>
      <c r="F108" s="44" t="n"/>
      <c r="G108" s="44" t="n"/>
      <c r="H108" s="56">
        <f>IF(A108="","",SUMIF($A$5:$A$304,A108,$D$5:$D$304))</f>
        <v/>
      </c>
    </row>
    <row r="109" ht="15" customHeight="1" s="36">
      <c r="A109" s="44" t="inlineStr">
        <is>
          <t>體育丙</t>
        </is>
      </c>
      <c r="B109" s="52" t="inlineStr">
        <is>
          <t>體育</t>
        </is>
      </c>
      <c r="C109" s="52" t="inlineStr">
        <is>
          <t>3年11班</t>
        </is>
      </c>
      <c r="D109" s="44" t="n">
        <v>2</v>
      </c>
      <c r="E109" s="52" t="inlineStr">
        <is>
          <t>操場／體育館</t>
        </is>
      </c>
      <c r="F109" s="44" t="n"/>
      <c r="G109" s="44" t="n"/>
      <c r="H109" s="56">
        <f>IF(A109="","",SUMIF($A$5:$A$304,A109,$D$5:$D$304))</f>
        <v/>
      </c>
    </row>
    <row r="110" ht="15" customHeight="1" s="36">
      <c r="A110" s="44" t="inlineStr">
        <is>
          <t>體育丙</t>
        </is>
      </c>
      <c r="B110" s="52" t="inlineStr">
        <is>
          <t>體育</t>
        </is>
      </c>
      <c r="C110" s="52" t="inlineStr">
        <is>
          <t>3年12班</t>
        </is>
      </c>
      <c r="D110" s="44" t="n">
        <v>2</v>
      </c>
      <c r="E110" s="52" t="inlineStr">
        <is>
          <t>操場／體育館</t>
        </is>
      </c>
      <c r="F110" s="44" t="n"/>
      <c r="G110" s="44" t="n"/>
      <c r="H110" s="56">
        <f>IF(A110="","",SUMIF($A$5:$A$304,A110,$D$5:$D$304))</f>
        <v/>
      </c>
    </row>
    <row r="111" ht="15" customHeight="1" s="36">
      <c r="A111" s="44" t="inlineStr">
        <is>
          <t>體育丙</t>
        </is>
      </c>
      <c r="B111" s="52" t="inlineStr">
        <is>
          <t>體育</t>
        </is>
      </c>
      <c r="C111" s="52" t="inlineStr">
        <is>
          <t>4年1班</t>
        </is>
      </c>
      <c r="D111" s="44" t="n">
        <v>2</v>
      </c>
      <c r="E111" s="52" t="inlineStr">
        <is>
          <t>操場／體育館</t>
        </is>
      </c>
      <c r="F111" s="44" t="n"/>
      <c r="G111" s="44" t="n"/>
      <c r="H111" s="56">
        <f>IF(A111="","",SUMIF($A$5:$A$304,A111,$D$5:$D$304))</f>
        <v/>
      </c>
    </row>
    <row r="112" ht="15" customHeight="1" s="36">
      <c r="A112" s="44" t="inlineStr">
        <is>
          <t>體育丙</t>
        </is>
      </c>
      <c r="B112" s="52" t="inlineStr">
        <is>
          <t>體育</t>
        </is>
      </c>
      <c r="C112" s="52" t="inlineStr">
        <is>
          <t>4年2班</t>
        </is>
      </c>
      <c r="D112" s="44" t="n">
        <v>2</v>
      </c>
      <c r="E112" s="52" t="inlineStr">
        <is>
          <t>操場／體育館</t>
        </is>
      </c>
      <c r="F112" s="44" t="n"/>
      <c r="G112" s="44" t="n"/>
      <c r="H112" s="56">
        <f>IF(A112="","",SUMIF($A$5:$A$304,A112,$D$5:$D$304))</f>
        <v/>
      </c>
    </row>
    <row r="113" ht="15" customHeight="1" s="36">
      <c r="A113" s="44" t="inlineStr">
        <is>
          <t>體育丙</t>
        </is>
      </c>
      <c r="B113" s="52" t="inlineStr">
        <is>
          <t>體育</t>
        </is>
      </c>
      <c r="C113" s="52" t="inlineStr">
        <is>
          <t>4年3班</t>
        </is>
      </c>
      <c r="D113" s="44" t="n">
        <v>2</v>
      </c>
      <c r="E113" s="52" t="inlineStr">
        <is>
          <t>操場／體育館</t>
        </is>
      </c>
      <c r="F113" s="44" t="n"/>
      <c r="G113" s="44" t="n"/>
      <c r="H113" s="56">
        <f>IF(A113="","",SUMIF($A$5:$A$304,A113,$D$5:$D$304))</f>
        <v/>
      </c>
    </row>
    <row r="114" ht="15" customHeight="1" s="36">
      <c r="A114" s="44" t="inlineStr">
        <is>
          <t>體育丙</t>
        </is>
      </c>
      <c r="B114" s="52" t="inlineStr">
        <is>
          <t>體育</t>
        </is>
      </c>
      <c r="C114" s="52" t="inlineStr">
        <is>
          <t>4年4班</t>
        </is>
      </c>
      <c r="D114" s="44" t="n">
        <v>2</v>
      </c>
      <c r="E114" s="52" t="inlineStr">
        <is>
          <t>操場／體育館</t>
        </is>
      </c>
      <c r="F114" s="44" t="n"/>
      <c r="G114" s="44" t="n"/>
      <c r="H114" s="56">
        <f>IF(A114="","",SUMIF($A$5:$A$304,A114,$D$5:$D$304))</f>
        <v/>
      </c>
    </row>
    <row r="115" ht="15" customHeight="1" s="36">
      <c r="A115" s="44" t="inlineStr">
        <is>
          <t>體育丙</t>
        </is>
      </c>
      <c r="B115" s="52" t="inlineStr">
        <is>
          <t>體育</t>
        </is>
      </c>
      <c r="C115" s="52" t="inlineStr">
        <is>
          <t>4年5班</t>
        </is>
      </c>
      <c r="D115" s="44" t="n">
        <v>2</v>
      </c>
      <c r="E115" s="52" t="inlineStr">
        <is>
          <t>操場／體育館</t>
        </is>
      </c>
      <c r="F115" s="44" t="n"/>
      <c r="G115" s="44" t="n"/>
      <c r="H115" s="56">
        <f>IF(A115="","",SUMIF($A$5:$A$304,A115,$D$5:$D$304))</f>
        <v/>
      </c>
    </row>
    <row r="116" ht="15" customHeight="1" s="36">
      <c r="A116" s="44" t="inlineStr">
        <is>
          <t>體育丙</t>
        </is>
      </c>
      <c r="B116" s="52" t="inlineStr">
        <is>
          <t>體育</t>
        </is>
      </c>
      <c r="C116" s="52" t="inlineStr">
        <is>
          <t>4年6班</t>
        </is>
      </c>
      <c r="D116" s="44" t="n">
        <v>2</v>
      </c>
      <c r="E116" s="52" t="inlineStr">
        <is>
          <t>操場／體育館</t>
        </is>
      </c>
      <c r="F116" s="44" t="n"/>
      <c r="G116" s="44" t="n"/>
      <c r="H116" s="56">
        <f>IF(A116="","",SUMIF($A$5:$A$304,A116,$D$5:$D$304))</f>
        <v/>
      </c>
    </row>
    <row r="117" ht="15" customHeight="1" s="36">
      <c r="A117" s="44" t="inlineStr">
        <is>
          <t>體育丁</t>
        </is>
      </c>
      <c r="B117" s="52" t="inlineStr">
        <is>
          <t>體育</t>
        </is>
      </c>
      <c r="C117" s="52" t="inlineStr">
        <is>
          <t>4年7班</t>
        </is>
      </c>
      <c r="D117" s="44" t="n">
        <v>2</v>
      </c>
      <c r="E117" s="52" t="inlineStr">
        <is>
          <t>操場／體育館</t>
        </is>
      </c>
      <c r="F117" s="44" t="n"/>
      <c r="G117" s="44" t="n"/>
      <c r="H117" s="56">
        <f>IF(A117="","",SUMIF($A$5:$A$304,A117,$D$5:$D$304))</f>
        <v/>
      </c>
    </row>
    <row r="118" ht="15" customHeight="1" s="36">
      <c r="A118" s="44" t="inlineStr">
        <is>
          <t>體育丁</t>
        </is>
      </c>
      <c r="B118" s="52" t="inlineStr">
        <is>
          <t>體育</t>
        </is>
      </c>
      <c r="C118" s="52" t="inlineStr">
        <is>
          <t>4年8班</t>
        </is>
      </c>
      <c r="D118" s="44" t="n">
        <v>2</v>
      </c>
      <c r="E118" s="52" t="inlineStr">
        <is>
          <t>操場／體育館</t>
        </is>
      </c>
      <c r="F118" s="44" t="n"/>
      <c r="G118" s="44" t="n"/>
      <c r="H118" s="56">
        <f>IF(A118="","",SUMIF($A$5:$A$304,A118,$D$5:$D$304))</f>
        <v/>
      </c>
    </row>
    <row r="119" ht="15" customHeight="1" s="36">
      <c r="A119" s="44" t="inlineStr">
        <is>
          <t>體育丁</t>
        </is>
      </c>
      <c r="B119" s="52" t="inlineStr">
        <is>
          <t>體育</t>
        </is>
      </c>
      <c r="C119" s="52" t="inlineStr">
        <is>
          <t>4年9班</t>
        </is>
      </c>
      <c r="D119" s="44" t="n">
        <v>2</v>
      </c>
      <c r="E119" s="52" t="inlineStr">
        <is>
          <t>操場／體育館</t>
        </is>
      </c>
      <c r="F119" s="44" t="n"/>
      <c r="G119" s="44" t="n"/>
      <c r="H119" s="56">
        <f>IF(A119="","",SUMIF($A$5:$A$304,A119,$D$5:$D$304))</f>
        <v/>
      </c>
    </row>
    <row r="120" ht="15" customHeight="1" s="36">
      <c r="A120" s="44" t="inlineStr">
        <is>
          <t>體育丁</t>
        </is>
      </c>
      <c r="B120" s="52" t="inlineStr">
        <is>
          <t>體育</t>
        </is>
      </c>
      <c r="C120" s="52" t="inlineStr">
        <is>
          <t>4年10班</t>
        </is>
      </c>
      <c r="D120" s="44" t="n">
        <v>2</v>
      </c>
      <c r="E120" s="52" t="inlineStr">
        <is>
          <t>操場／體育館</t>
        </is>
      </c>
      <c r="F120" s="44" t="n"/>
      <c r="G120" s="44" t="n"/>
      <c r="H120" s="56">
        <f>IF(A120="","",SUMIF($A$5:$A$304,A120,$D$5:$D$304))</f>
        <v/>
      </c>
    </row>
    <row r="121" ht="15" customHeight="1" s="36">
      <c r="A121" s="44" t="inlineStr">
        <is>
          <t>體育丁</t>
        </is>
      </c>
      <c r="B121" s="52" t="inlineStr">
        <is>
          <t>體育</t>
        </is>
      </c>
      <c r="C121" s="52" t="inlineStr">
        <is>
          <t>4年11班</t>
        </is>
      </c>
      <c r="D121" s="44" t="n">
        <v>2</v>
      </c>
      <c r="E121" s="52" t="inlineStr">
        <is>
          <t>操場／體育館</t>
        </is>
      </c>
      <c r="F121" s="44" t="n"/>
      <c r="G121" s="44" t="n"/>
      <c r="H121" s="56">
        <f>IF(A121="","",SUMIF($A$5:$A$304,A121,$D$5:$D$304))</f>
        <v/>
      </c>
    </row>
    <row r="122" ht="15" customHeight="1" s="36">
      <c r="A122" s="44" t="inlineStr">
        <is>
          <t>體育丁</t>
        </is>
      </c>
      <c r="B122" s="52" t="inlineStr">
        <is>
          <t>體育</t>
        </is>
      </c>
      <c r="C122" s="52" t="inlineStr">
        <is>
          <t>4年12班</t>
        </is>
      </c>
      <c r="D122" s="44" t="n">
        <v>2</v>
      </c>
      <c r="E122" s="52" t="inlineStr">
        <is>
          <t>操場／體育館</t>
        </is>
      </c>
      <c r="F122" s="44" t="n"/>
      <c r="G122" s="44" t="n"/>
      <c r="H122" s="56">
        <f>IF(A122="","",SUMIF($A$5:$A$304,A122,$D$5:$D$304))</f>
        <v/>
      </c>
    </row>
    <row r="123" ht="15" customHeight="1" s="36">
      <c r="A123" s="44" t="inlineStr">
        <is>
          <t>體育丁</t>
        </is>
      </c>
      <c r="B123" s="52" t="inlineStr">
        <is>
          <t>體育</t>
        </is>
      </c>
      <c r="C123" s="52" t="inlineStr">
        <is>
          <t>5年1班</t>
        </is>
      </c>
      <c r="D123" s="44" t="n">
        <v>2</v>
      </c>
      <c r="E123" s="52" t="inlineStr">
        <is>
          <t>操場／體育館</t>
        </is>
      </c>
      <c r="F123" s="44" t="n"/>
      <c r="G123" s="44" t="n"/>
      <c r="H123" s="56">
        <f>IF(A123="","",SUMIF($A$5:$A$304,A123,$D$5:$D$304))</f>
        <v/>
      </c>
    </row>
    <row r="124" ht="15" customHeight="1" s="36">
      <c r="A124" s="44" t="inlineStr">
        <is>
          <t>體育丁</t>
        </is>
      </c>
      <c r="B124" s="52" t="inlineStr">
        <is>
          <t>體育</t>
        </is>
      </c>
      <c r="C124" s="52" t="inlineStr">
        <is>
          <t>5年2班</t>
        </is>
      </c>
      <c r="D124" s="44" t="n">
        <v>2</v>
      </c>
      <c r="E124" s="52" t="inlineStr">
        <is>
          <t>操場／體育館</t>
        </is>
      </c>
      <c r="F124" s="44" t="n"/>
      <c r="G124" s="44" t="n"/>
      <c r="H124" s="56">
        <f>IF(A124="","",SUMIF($A$5:$A$304,A124,$D$5:$D$304))</f>
        <v/>
      </c>
    </row>
    <row r="125" ht="15" customHeight="1" s="36">
      <c r="A125" s="44" t="inlineStr">
        <is>
          <t>體育丁</t>
        </is>
      </c>
      <c r="B125" s="52" t="inlineStr">
        <is>
          <t>體育</t>
        </is>
      </c>
      <c r="C125" s="52" t="inlineStr">
        <is>
          <t>5年3班</t>
        </is>
      </c>
      <c r="D125" s="44" t="n">
        <v>2</v>
      </c>
      <c r="E125" s="52" t="inlineStr">
        <is>
          <t>操場／體育館</t>
        </is>
      </c>
      <c r="F125" s="44" t="n"/>
      <c r="G125" s="44" t="n"/>
      <c r="H125" s="56">
        <f>IF(A125="","",SUMIF($A$5:$A$304,A125,$D$5:$D$304))</f>
        <v/>
      </c>
    </row>
    <row r="126" ht="15" customHeight="1" s="36">
      <c r="A126" s="44" t="inlineStr">
        <is>
          <t>體育丁</t>
        </is>
      </c>
      <c r="B126" s="52" t="inlineStr">
        <is>
          <t>體育</t>
        </is>
      </c>
      <c r="C126" s="52" t="inlineStr">
        <is>
          <t>5年4班</t>
        </is>
      </c>
      <c r="D126" s="44" t="n">
        <v>2</v>
      </c>
      <c r="E126" s="52" t="inlineStr">
        <is>
          <t>操場／體育館</t>
        </is>
      </c>
      <c r="F126" s="44" t="n"/>
      <c r="G126" s="44" t="n"/>
      <c r="H126" s="56">
        <f>IF(A126="","",SUMIF($A$5:$A$304,A126,$D$5:$D$304))</f>
        <v/>
      </c>
    </row>
    <row r="127" ht="15" customHeight="1" s="36">
      <c r="A127" s="44" t="inlineStr">
        <is>
          <t>體育戊</t>
        </is>
      </c>
      <c r="B127" s="52" t="inlineStr">
        <is>
          <t>體育</t>
        </is>
      </c>
      <c r="C127" s="52" t="inlineStr">
        <is>
          <t>5年5班</t>
        </is>
      </c>
      <c r="D127" s="44" t="n">
        <v>2</v>
      </c>
      <c r="E127" s="52" t="inlineStr">
        <is>
          <t>操場／體育館</t>
        </is>
      </c>
      <c r="F127" s="44" t="n"/>
      <c r="G127" s="44" t="n"/>
      <c r="H127" s="56">
        <f>IF(A127="","",SUMIF($A$5:$A$304,A127,$D$5:$D$304))</f>
        <v/>
      </c>
    </row>
    <row r="128" ht="15" customHeight="1" s="36">
      <c r="A128" s="44" t="inlineStr">
        <is>
          <t>體育戊</t>
        </is>
      </c>
      <c r="B128" s="52" t="inlineStr">
        <is>
          <t>體育</t>
        </is>
      </c>
      <c r="C128" s="52" t="inlineStr">
        <is>
          <t>5年6班</t>
        </is>
      </c>
      <c r="D128" s="44" t="n">
        <v>2</v>
      </c>
      <c r="E128" s="52" t="inlineStr">
        <is>
          <t>操場／體育館</t>
        </is>
      </c>
      <c r="F128" s="44" t="n"/>
      <c r="G128" s="44" t="n"/>
      <c r="H128" s="56">
        <f>IF(A128="","",SUMIF($A$5:$A$304,A128,$D$5:$D$304))</f>
        <v/>
      </c>
    </row>
    <row r="129" ht="15" customHeight="1" s="36">
      <c r="A129" s="44" t="inlineStr">
        <is>
          <t>體育戊</t>
        </is>
      </c>
      <c r="B129" s="52" t="inlineStr">
        <is>
          <t>體育</t>
        </is>
      </c>
      <c r="C129" s="52" t="inlineStr">
        <is>
          <t>5年7班</t>
        </is>
      </c>
      <c r="D129" s="44" t="n">
        <v>2</v>
      </c>
      <c r="E129" s="52" t="inlineStr">
        <is>
          <t>操場／體育館</t>
        </is>
      </c>
      <c r="F129" s="44" t="n"/>
      <c r="G129" s="44" t="n"/>
      <c r="H129" s="56">
        <f>IF(A129="","",SUMIF($A$5:$A$304,A129,$D$5:$D$304))</f>
        <v/>
      </c>
    </row>
    <row r="130" ht="15" customHeight="1" s="36">
      <c r="A130" s="44" t="inlineStr">
        <is>
          <t>體育戊</t>
        </is>
      </c>
      <c r="B130" s="52" t="inlineStr">
        <is>
          <t>體育</t>
        </is>
      </c>
      <c r="C130" s="52" t="inlineStr">
        <is>
          <t>5年8班</t>
        </is>
      </c>
      <c r="D130" s="44" t="n">
        <v>2</v>
      </c>
      <c r="E130" s="52" t="inlineStr">
        <is>
          <t>操場／體育館</t>
        </is>
      </c>
      <c r="F130" s="44" t="n"/>
      <c r="G130" s="44" t="n"/>
      <c r="H130" s="56">
        <f>IF(A130="","",SUMIF($A$5:$A$304,A130,$D$5:$D$304))</f>
        <v/>
      </c>
    </row>
    <row r="131" ht="15" customHeight="1" s="36">
      <c r="A131" s="44" t="inlineStr">
        <is>
          <t>體育戊</t>
        </is>
      </c>
      <c r="B131" s="52" t="inlineStr">
        <is>
          <t>體育</t>
        </is>
      </c>
      <c r="C131" s="52" t="inlineStr">
        <is>
          <t>5年9班</t>
        </is>
      </c>
      <c r="D131" s="44" t="n">
        <v>2</v>
      </c>
      <c r="E131" s="52" t="inlineStr">
        <is>
          <t>操場／體育館</t>
        </is>
      </c>
      <c r="F131" s="44" t="n"/>
      <c r="G131" s="44" t="n"/>
      <c r="H131" s="56">
        <f>IF(A131="","",SUMIF($A$5:$A$304,A131,$D$5:$D$304))</f>
        <v/>
      </c>
    </row>
    <row r="132" ht="15" customHeight="1" s="36">
      <c r="A132" s="44" t="inlineStr">
        <is>
          <t>體育戊</t>
        </is>
      </c>
      <c r="B132" s="52" t="inlineStr">
        <is>
          <t>體育</t>
        </is>
      </c>
      <c r="C132" s="52" t="inlineStr">
        <is>
          <t>5年10班</t>
        </is>
      </c>
      <c r="D132" s="44" t="n">
        <v>2</v>
      </c>
      <c r="E132" s="52" t="inlineStr">
        <is>
          <t>操場／體育館</t>
        </is>
      </c>
      <c r="F132" s="44" t="n"/>
      <c r="G132" s="44" t="n"/>
      <c r="H132" s="56">
        <f>IF(A132="","",SUMIF($A$5:$A$304,A132,$D$5:$D$304))</f>
        <v/>
      </c>
    </row>
    <row r="133" ht="15" customHeight="1" s="36">
      <c r="A133" s="44" t="inlineStr">
        <is>
          <t>體育戊</t>
        </is>
      </c>
      <c r="B133" s="52" t="inlineStr">
        <is>
          <t>體育</t>
        </is>
      </c>
      <c r="C133" s="52" t="inlineStr">
        <is>
          <t>5年11班</t>
        </is>
      </c>
      <c r="D133" s="44" t="n">
        <v>2</v>
      </c>
      <c r="E133" s="52" t="inlineStr">
        <is>
          <t>操場／體育館</t>
        </is>
      </c>
      <c r="F133" s="44" t="n"/>
      <c r="G133" s="44" t="n"/>
      <c r="H133" s="56">
        <f>IF(A133="","",SUMIF($A$5:$A$304,A133,$D$5:$D$304))</f>
        <v/>
      </c>
    </row>
    <row r="134" ht="15" customHeight="1" s="36">
      <c r="A134" s="44" t="inlineStr">
        <is>
          <t>體育戊</t>
        </is>
      </c>
      <c r="B134" s="52" t="inlineStr">
        <is>
          <t>體育</t>
        </is>
      </c>
      <c r="C134" s="52" t="inlineStr">
        <is>
          <t>5年12班</t>
        </is>
      </c>
      <c r="D134" s="44" t="n">
        <v>2</v>
      </c>
      <c r="E134" s="52" t="inlineStr">
        <is>
          <t>操場／體育館</t>
        </is>
      </c>
      <c r="F134" s="44" t="n"/>
      <c r="G134" s="44" t="n"/>
      <c r="H134" s="56">
        <f>IF(A134="","",SUMIF($A$5:$A$304,A134,$D$5:$D$304))</f>
        <v/>
      </c>
    </row>
    <row r="135" ht="15" customHeight="1" s="36">
      <c r="A135" s="44" t="inlineStr">
        <is>
          <t>體育戊</t>
        </is>
      </c>
      <c r="B135" s="52" t="inlineStr">
        <is>
          <t>體育</t>
        </is>
      </c>
      <c r="C135" s="52" t="inlineStr">
        <is>
          <t>6年1班</t>
        </is>
      </c>
      <c r="D135" s="44" t="n">
        <v>2</v>
      </c>
      <c r="E135" s="52" t="inlineStr">
        <is>
          <t>操場／體育館</t>
        </is>
      </c>
      <c r="F135" s="44" t="n"/>
      <c r="G135" s="44" t="n"/>
      <c r="H135" s="56">
        <f>IF(A135="","",SUMIF($A$5:$A$304,A135,$D$5:$D$304))</f>
        <v/>
      </c>
    </row>
    <row r="136" ht="15" customHeight="1" s="36">
      <c r="A136" s="44" t="inlineStr">
        <is>
          <t>體育戊</t>
        </is>
      </c>
      <c r="B136" s="52" t="inlineStr">
        <is>
          <t>體育</t>
        </is>
      </c>
      <c r="C136" s="52" t="inlineStr">
        <is>
          <t>6年2班</t>
        </is>
      </c>
      <c r="D136" s="44" t="n">
        <v>2</v>
      </c>
      <c r="E136" s="52" t="inlineStr">
        <is>
          <t>操場／體育館</t>
        </is>
      </c>
      <c r="F136" s="44" t="n"/>
      <c r="G136" s="44" t="n"/>
      <c r="H136" s="56">
        <f>IF(A136="","",SUMIF($A$5:$A$304,A136,$D$5:$D$304))</f>
        <v/>
      </c>
    </row>
    <row r="137" ht="15" customHeight="1" s="36">
      <c r="A137" s="44" t="inlineStr">
        <is>
          <t>體育己</t>
        </is>
      </c>
      <c r="B137" s="52" t="inlineStr">
        <is>
          <t>體育</t>
        </is>
      </c>
      <c r="C137" s="52" t="inlineStr">
        <is>
          <t>6年3班</t>
        </is>
      </c>
      <c r="D137" s="44" t="n">
        <v>2</v>
      </c>
      <c r="E137" s="52" t="inlineStr">
        <is>
          <t>操場／體育館</t>
        </is>
      </c>
      <c r="F137" s="44" t="n"/>
      <c r="G137" s="44" t="n"/>
      <c r="H137" s="56">
        <f>IF(A137="","",SUMIF($A$5:$A$304,A137,$D$5:$D$304))</f>
        <v/>
      </c>
    </row>
    <row r="138" ht="15" customHeight="1" s="36">
      <c r="A138" s="44" t="inlineStr">
        <is>
          <t>體育己</t>
        </is>
      </c>
      <c r="B138" s="52" t="inlineStr">
        <is>
          <t>體育</t>
        </is>
      </c>
      <c r="C138" s="52" t="inlineStr">
        <is>
          <t>6年4班</t>
        </is>
      </c>
      <c r="D138" s="44" t="n">
        <v>2</v>
      </c>
      <c r="E138" s="52" t="inlineStr">
        <is>
          <t>操場／體育館</t>
        </is>
      </c>
      <c r="F138" s="44" t="n"/>
      <c r="G138" s="44" t="n"/>
      <c r="H138" s="56">
        <f>IF(A138="","",SUMIF($A$5:$A$304,A138,$D$5:$D$304))</f>
        <v/>
      </c>
    </row>
    <row r="139" ht="15" customHeight="1" s="36">
      <c r="A139" s="44" t="inlineStr">
        <is>
          <t>體育己</t>
        </is>
      </c>
      <c r="B139" s="52" t="inlineStr">
        <is>
          <t>體育</t>
        </is>
      </c>
      <c r="C139" s="52" t="inlineStr">
        <is>
          <t>6年5班</t>
        </is>
      </c>
      <c r="D139" s="44" t="n">
        <v>2</v>
      </c>
      <c r="E139" s="52" t="inlineStr">
        <is>
          <t>操場／體育館</t>
        </is>
      </c>
      <c r="F139" s="44" t="n"/>
      <c r="G139" s="44" t="n"/>
      <c r="H139" s="56">
        <f>IF(A139="","",SUMIF($A$5:$A$304,A139,$D$5:$D$304))</f>
        <v/>
      </c>
    </row>
    <row r="140" ht="15" customHeight="1" s="36">
      <c r="A140" s="44" t="inlineStr">
        <is>
          <t>體育己</t>
        </is>
      </c>
      <c r="B140" s="52" t="inlineStr">
        <is>
          <t>體育</t>
        </is>
      </c>
      <c r="C140" s="52" t="inlineStr">
        <is>
          <t>6年6班</t>
        </is>
      </c>
      <c r="D140" s="44" t="n">
        <v>2</v>
      </c>
      <c r="E140" s="52" t="inlineStr">
        <is>
          <t>操場／體育館</t>
        </is>
      </c>
      <c r="F140" s="44" t="n"/>
      <c r="G140" s="44" t="n"/>
      <c r="H140" s="56">
        <f>IF(A140="","",SUMIF($A$5:$A$304,A140,$D$5:$D$304))</f>
        <v/>
      </c>
    </row>
    <row r="141" ht="15" customHeight="1" s="36">
      <c r="A141" s="44" t="inlineStr">
        <is>
          <t>體育己</t>
        </is>
      </c>
      <c r="B141" s="52" t="inlineStr">
        <is>
          <t>體育</t>
        </is>
      </c>
      <c r="C141" s="52" t="inlineStr">
        <is>
          <t>6年7班</t>
        </is>
      </c>
      <c r="D141" s="44" t="n">
        <v>2</v>
      </c>
      <c r="E141" s="52" t="inlineStr">
        <is>
          <t>操場／體育館</t>
        </is>
      </c>
      <c r="F141" s="44" t="n"/>
      <c r="G141" s="44" t="n"/>
      <c r="H141" s="56">
        <f>IF(A141="","",SUMIF($A$5:$A$304,A141,$D$5:$D$304))</f>
        <v/>
      </c>
    </row>
    <row r="142" ht="15" customHeight="1" s="36">
      <c r="A142" s="44" t="inlineStr">
        <is>
          <t>體育己</t>
        </is>
      </c>
      <c r="B142" s="52" t="inlineStr">
        <is>
          <t>體育</t>
        </is>
      </c>
      <c r="C142" s="52" t="inlineStr">
        <is>
          <t>6年8班</t>
        </is>
      </c>
      <c r="D142" s="44" t="n">
        <v>2</v>
      </c>
      <c r="E142" s="52" t="inlineStr">
        <is>
          <t>操場／體育館</t>
        </is>
      </c>
      <c r="F142" s="44" t="n"/>
      <c r="G142" s="44" t="n"/>
      <c r="H142" s="56">
        <f>IF(A142="","",SUMIF($A$5:$A$304,A142,$D$5:$D$304))</f>
        <v/>
      </c>
    </row>
    <row r="143" ht="15" customHeight="1" s="36">
      <c r="A143" s="44" t="inlineStr">
        <is>
          <t>體育己</t>
        </is>
      </c>
      <c r="B143" s="52" t="inlineStr">
        <is>
          <t>體育</t>
        </is>
      </c>
      <c r="C143" s="52" t="inlineStr">
        <is>
          <t>6年9班</t>
        </is>
      </c>
      <c r="D143" s="44" t="n">
        <v>2</v>
      </c>
      <c r="E143" s="52" t="inlineStr">
        <is>
          <t>操場／體育館</t>
        </is>
      </c>
      <c r="F143" s="44" t="n"/>
      <c r="G143" s="44" t="n"/>
      <c r="H143" s="56">
        <f>IF(A143="","",SUMIF($A$5:$A$304,A143,$D$5:$D$304))</f>
        <v/>
      </c>
    </row>
    <row r="144" ht="15" customHeight="1" s="36">
      <c r="A144" s="44" t="inlineStr">
        <is>
          <t>體育己</t>
        </is>
      </c>
      <c r="B144" s="52" t="inlineStr">
        <is>
          <t>體育</t>
        </is>
      </c>
      <c r="C144" s="52" t="inlineStr">
        <is>
          <t>6年10班</t>
        </is>
      </c>
      <c r="D144" s="44" t="n">
        <v>2</v>
      </c>
      <c r="E144" s="52" t="inlineStr">
        <is>
          <t>操場／體育館</t>
        </is>
      </c>
      <c r="F144" s="44" t="n"/>
      <c r="G144" s="44" t="n"/>
      <c r="H144" s="56">
        <f>IF(A144="","",SUMIF($A$5:$A$304,A144,$D$5:$D$304))</f>
        <v/>
      </c>
    </row>
    <row r="145" ht="15" customHeight="1" s="36">
      <c r="A145" s="44" t="inlineStr">
        <is>
          <t>體育己</t>
        </is>
      </c>
      <c r="B145" s="52" t="inlineStr">
        <is>
          <t>體育</t>
        </is>
      </c>
      <c r="C145" s="52" t="inlineStr">
        <is>
          <t>6年11班</t>
        </is>
      </c>
      <c r="D145" s="44" t="n">
        <v>2</v>
      </c>
      <c r="E145" s="52" t="inlineStr">
        <is>
          <t>操場／體育館</t>
        </is>
      </c>
      <c r="F145" s="44" t="n"/>
      <c r="G145" s="44" t="n"/>
      <c r="H145" s="56">
        <f>IF(A145="","",SUMIF($A$5:$A$304,A145,$D$5:$D$304))</f>
        <v/>
      </c>
    </row>
    <row r="146" ht="15" customHeight="1" s="36">
      <c r="A146" s="44" t="inlineStr">
        <is>
          <t>體育己</t>
        </is>
      </c>
      <c r="B146" s="52" t="inlineStr">
        <is>
          <t>體育</t>
        </is>
      </c>
      <c r="C146" s="52" t="inlineStr">
        <is>
          <t>6年12班</t>
        </is>
      </c>
      <c r="D146" s="44" t="n">
        <v>2</v>
      </c>
      <c r="E146" s="52" t="inlineStr">
        <is>
          <t>操場／體育館</t>
        </is>
      </c>
      <c r="F146" s="44" t="n"/>
      <c r="G146" s="44" t="n"/>
      <c r="H146" s="56">
        <f>IF(A146="","",SUMIF($A$5:$A$304,A146,$D$5:$D$304))</f>
        <v/>
      </c>
    </row>
    <row r="147" ht="15" customHeight="1" s="36">
      <c r="A147" s="44" t="inlineStr">
        <is>
          <t>音樂甲</t>
        </is>
      </c>
      <c r="B147" s="52" t="inlineStr">
        <is>
          <t>音樂</t>
        </is>
      </c>
      <c r="C147" s="52" t="inlineStr">
        <is>
          <t>1年1班</t>
        </is>
      </c>
      <c r="D147" s="44" t="n">
        <v>1</v>
      </c>
      <c r="E147" s="52" t="inlineStr">
        <is>
          <t>音樂教室</t>
        </is>
      </c>
      <c r="F147" s="44" t="n"/>
      <c r="G147" s="44" t="n"/>
      <c r="H147" s="56">
        <f>IF(A147="","",SUMIF($A$5:$A$304,A147,$D$5:$D$304))</f>
        <v/>
      </c>
    </row>
    <row r="148" ht="15" customHeight="1" s="36">
      <c r="A148" s="44" t="inlineStr">
        <is>
          <t>音樂甲</t>
        </is>
      </c>
      <c r="B148" s="52" t="inlineStr">
        <is>
          <t>音樂</t>
        </is>
      </c>
      <c r="C148" s="52" t="inlineStr">
        <is>
          <t>1年2班</t>
        </is>
      </c>
      <c r="D148" s="44" t="n">
        <v>1</v>
      </c>
      <c r="E148" s="52" t="inlineStr">
        <is>
          <t>音樂教室</t>
        </is>
      </c>
      <c r="F148" s="44" t="n"/>
      <c r="G148" s="44" t="n"/>
      <c r="H148" s="56">
        <f>IF(A148="","",SUMIF($A$5:$A$304,A148,$D$5:$D$304))</f>
        <v/>
      </c>
    </row>
    <row r="149" ht="15" customHeight="1" s="36">
      <c r="A149" s="44" t="inlineStr">
        <is>
          <t>音樂甲</t>
        </is>
      </c>
      <c r="B149" s="52" t="inlineStr">
        <is>
          <t>音樂</t>
        </is>
      </c>
      <c r="C149" s="52" t="inlineStr">
        <is>
          <t>1年3班</t>
        </is>
      </c>
      <c r="D149" s="44" t="n">
        <v>1</v>
      </c>
      <c r="E149" s="52" t="inlineStr">
        <is>
          <t>音樂教室</t>
        </is>
      </c>
      <c r="F149" s="44" t="n"/>
      <c r="G149" s="44" t="n"/>
      <c r="H149" s="56">
        <f>IF(A149="","",SUMIF($A$5:$A$304,A149,$D$5:$D$304))</f>
        <v/>
      </c>
    </row>
    <row r="150" ht="15" customHeight="1" s="36">
      <c r="A150" s="44" t="inlineStr">
        <is>
          <t>音樂甲</t>
        </is>
      </c>
      <c r="B150" s="52" t="inlineStr">
        <is>
          <t>音樂</t>
        </is>
      </c>
      <c r="C150" s="52" t="inlineStr">
        <is>
          <t>1年4班</t>
        </is>
      </c>
      <c r="D150" s="44" t="n">
        <v>1</v>
      </c>
      <c r="E150" s="52" t="inlineStr">
        <is>
          <t>音樂教室</t>
        </is>
      </c>
      <c r="F150" s="44" t="n"/>
      <c r="G150" s="44" t="n"/>
      <c r="H150" s="56">
        <f>IF(A150="","",SUMIF($A$5:$A$304,A150,$D$5:$D$304))</f>
        <v/>
      </c>
    </row>
    <row r="151" ht="15" customHeight="1" s="36">
      <c r="A151" s="44" t="inlineStr">
        <is>
          <t>音樂甲</t>
        </is>
      </c>
      <c r="B151" s="52" t="inlineStr">
        <is>
          <t>音樂</t>
        </is>
      </c>
      <c r="C151" s="52" t="inlineStr">
        <is>
          <t>1年5班</t>
        </is>
      </c>
      <c r="D151" s="44" t="n">
        <v>1</v>
      </c>
      <c r="E151" s="52" t="inlineStr">
        <is>
          <t>音樂教室</t>
        </is>
      </c>
      <c r="F151" s="44" t="n"/>
      <c r="G151" s="44" t="n"/>
      <c r="H151" s="56">
        <f>IF(A151="","",SUMIF($A$5:$A$304,A151,$D$5:$D$304))</f>
        <v/>
      </c>
    </row>
    <row r="152" ht="15" customHeight="1" s="36">
      <c r="A152" s="44" t="inlineStr">
        <is>
          <t>音樂甲</t>
        </is>
      </c>
      <c r="B152" s="52" t="inlineStr">
        <is>
          <t>音樂</t>
        </is>
      </c>
      <c r="C152" s="52" t="inlineStr">
        <is>
          <t>1年6班</t>
        </is>
      </c>
      <c r="D152" s="44" t="n">
        <v>1</v>
      </c>
      <c r="E152" s="52" t="inlineStr">
        <is>
          <t>音樂教室</t>
        </is>
      </c>
      <c r="F152" s="44" t="n"/>
      <c r="G152" s="44" t="n"/>
      <c r="H152" s="56">
        <f>IF(A152="","",SUMIF($A$5:$A$304,A152,$D$5:$D$304))</f>
        <v/>
      </c>
    </row>
    <row r="153" ht="15" customHeight="1" s="36">
      <c r="A153" s="44" t="inlineStr">
        <is>
          <t>音樂甲</t>
        </is>
      </c>
      <c r="B153" s="52" t="inlineStr">
        <is>
          <t>音樂</t>
        </is>
      </c>
      <c r="C153" s="52" t="inlineStr">
        <is>
          <t>1年7班</t>
        </is>
      </c>
      <c r="D153" s="44" t="n">
        <v>1</v>
      </c>
      <c r="E153" s="52" t="inlineStr">
        <is>
          <t>音樂教室</t>
        </is>
      </c>
      <c r="F153" s="44" t="n"/>
      <c r="G153" s="44" t="n"/>
      <c r="H153" s="56">
        <f>IF(A153="","",SUMIF($A$5:$A$304,A153,$D$5:$D$304))</f>
        <v/>
      </c>
    </row>
    <row r="154" ht="15" customHeight="1" s="36">
      <c r="A154" s="44" t="inlineStr">
        <is>
          <t>音樂甲</t>
        </is>
      </c>
      <c r="B154" s="52" t="inlineStr">
        <is>
          <t>音樂</t>
        </is>
      </c>
      <c r="C154" s="52" t="inlineStr">
        <is>
          <t>1年8班</t>
        </is>
      </c>
      <c r="D154" s="44" t="n">
        <v>1</v>
      </c>
      <c r="E154" s="52" t="inlineStr">
        <is>
          <t>音樂教室</t>
        </is>
      </c>
      <c r="F154" s="44" t="n"/>
      <c r="G154" s="44" t="n"/>
      <c r="H154" s="56">
        <f>IF(A154="","",SUMIF($A$5:$A$304,A154,$D$5:$D$304))</f>
        <v/>
      </c>
    </row>
    <row r="155" ht="15" customHeight="1" s="36">
      <c r="A155" s="44" t="inlineStr">
        <is>
          <t>音樂甲</t>
        </is>
      </c>
      <c r="B155" s="52" t="inlineStr">
        <is>
          <t>音樂</t>
        </is>
      </c>
      <c r="C155" s="52" t="inlineStr">
        <is>
          <t>1年9班</t>
        </is>
      </c>
      <c r="D155" s="44" t="n">
        <v>1</v>
      </c>
      <c r="E155" s="52" t="inlineStr">
        <is>
          <t>音樂教室</t>
        </is>
      </c>
      <c r="F155" s="44" t="n"/>
      <c r="G155" s="44" t="n"/>
      <c r="H155" s="56">
        <f>IF(A155="","",SUMIF($A$5:$A$304,A155,$D$5:$D$304))</f>
        <v/>
      </c>
    </row>
    <row r="156" ht="15" customHeight="1" s="36">
      <c r="A156" s="44" t="inlineStr">
        <is>
          <t>音樂甲</t>
        </is>
      </c>
      <c r="B156" s="52" t="inlineStr">
        <is>
          <t>音樂</t>
        </is>
      </c>
      <c r="C156" s="52" t="inlineStr">
        <is>
          <t>1年10班</t>
        </is>
      </c>
      <c r="D156" s="44" t="n">
        <v>1</v>
      </c>
      <c r="E156" s="52" t="inlineStr">
        <is>
          <t>音樂教室</t>
        </is>
      </c>
      <c r="F156" s="44" t="n"/>
      <c r="G156" s="44" t="n"/>
      <c r="H156" s="56">
        <f>IF(A156="","",SUMIF($A$5:$A$304,A156,$D$5:$D$304))</f>
        <v/>
      </c>
    </row>
    <row r="157" ht="15" customHeight="1" s="36">
      <c r="A157" s="44" t="inlineStr">
        <is>
          <t>音樂甲</t>
        </is>
      </c>
      <c r="B157" s="52" t="inlineStr">
        <is>
          <t>音樂</t>
        </is>
      </c>
      <c r="C157" s="52" t="inlineStr">
        <is>
          <t>1年11班</t>
        </is>
      </c>
      <c r="D157" s="44" t="n">
        <v>1</v>
      </c>
      <c r="E157" s="52" t="inlineStr">
        <is>
          <t>音樂教室</t>
        </is>
      </c>
      <c r="F157" s="44" t="n"/>
      <c r="G157" s="44" t="n"/>
      <c r="H157" s="56">
        <f>IF(A157="","",SUMIF($A$5:$A$304,A157,$D$5:$D$304))</f>
        <v/>
      </c>
    </row>
    <row r="158" ht="15" customHeight="1" s="36">
      <c r="A158" s="44" t="inlineStr">
        <is>
          <t>音樂甲</t>
        </is>
      </c>
      <c r="B158" s="52" t="inlineStr">
        <is>
          <t>音樂</t>
        </is>
      </c>
      <c r="C158" s="52" t="inlineStr">
        <is>
          <t>1年12班</t>
        </is>
      </c>
      <c r="D158" s="44" t="n">
        <v>1</v>
      </c>
      <c r="E158" s="52" t="inlineStr">
        <is>
          <t>音樂教室</t>
        </is>
      </c>
      <c r="F158" s="44" t="n"/>
      <c r="G158" s="44" t="n"/>
      <c r="H158" s="56">
        <f>IF(A158="","",SUMIF($A$5:$A$304,A158,$D$5:$D$304))</f>
        <v/>
      </c>
    </row>
    <row r="159" ht="15" customHeight="1" s="36">
      <c r="A159" s="44" t="inlineStr">
        <is>
          <t>音樂甲</t>
        </is>
      </c>
      <c r="B159" s="52" t="inlineStr">
        <is>
          <t>音樂</t>
        </is>
      </c>
      <c r="C159" s="52" t="inlineStr">
        <is>
          <t>2年1班</t>
        </is>
      </c>
      <c r="D159" s="44" t="n">
        <v>1</v>
      </c>
      <c r="E159" s="52" t="inlineStr">
        <is>
          <t>音樂教室</t>
        </is>
      </c>
      <c r="F159" s="44" t="n"/>
      <c r="G159" s="44" t="n"/>
      <c r="H159" s="56">
        <f>IF(A159="","",SUMIF($A$5:$A$304,A159,$D$5:$D$304))</f>
        <v/>
      </c>
    </row>
    <row r="160" ht="15" customHeight="1" s="36">
      <c r="A160" s="44" t="inlineStr">
        <is>
          <t>音樂甲</t>
        </is>
      </c>
      <c r="B160" s="52" t="inlineStr">
        <is>
          <t>音樂</t>
        </is>
      </c>
      <c r="C160" s="52" t="inlineStr">
        <is>
          <t>2年2班</t>
        </is>
      </c>
      <c r="D160" s="44" t="n">
        <v>1</v>
      </c>
      <c r="E160" s="52" t="inlineStr">
        <is>
          <t>音樂教室</t>
        </is>
      </c>
      <c r="F160" s="44" t="n"/>
      <c r="G160" s="44" t="n"/>
      <c r="H160" s="56">
        <f>IF(A160="","",SUMIF($A$5:$A$304,A160,$D$5:$D$304))</f>
        <v/>
      </c>
    </row>
    <row r="161" ht="15" customHeight="1" s="36">
      <c r="A161" s="44" t="inlineStr">
        <is>
          <t>音樂甲</t>
        </is>
      </c>
      <c r="B161" s="52" t="inlineStr">
        <is>
          <t>音樂</t>
        </is>
      </c>
      <c r="C161" s="52" t="inlineStr">
        <is>
          <t>2年3班</t>
        </is>
      </c>
      <c r="D161" s="44" t="n">
        <v>1</v>
      </c>
      <c r="E161" s="52" t="inlineStr">
        <is>
          <t>音樂教室</t>
        </is>
      </c>
      <c r="F161" s="44" t="n"/>
      <c r="G161" s="44" t="n"/>
      <c r="H161" s="56">
        <f>IF(A161="","",SUMIF($A$5:$A$304,A161,$D$5:$D$304))</f>
        <v/>
      </c>
    </row>
    <row r="162" ht="15" customHeight="1" s="36">
      <c r="A162" s="44" t="inlineStr">
        <is>
          <t>音樂甲</t>
        </is>
      </c>
      <c r="B162" s="52" t="inlineStr">
        <is>
          <t>音樂</t>
        </is>
      </c>
      <c r="C162" s="52" t="inlineStr">
        <is>
          <t>2年4班</t>
        </is>
      </c>
      <c r="D162" s="44" t="n">
        <v>1</v>
      </c>
      <c r="E162" s="52" t="inlineStr">
        <is>
          <t>音樂教室</t>
        </is>
      </c>
      <c r="F162" s="44" t="n"/>
      <c r="G162" s="44" t="n"/>
      <c r="H162" s="56">
        <f>IF(A162="","",SUMIF($A$5:$A$304,A162,$D$5:$D$304))</f>
        <v/>
      </c>
    </row>
    <row r="163" ht="15" customHeight="1" s="36">
      <c r="A163" s="44" t="inlineStr">
        <is>
          <t>音樂甲</t>
        </is>
      </c>
      <c r="B163" s="52" t="inlineStr">
        <is>
          <t>音樂</t>
        </is>
      </c>
      <c r="C163" s="52" t="inlineStr">
        <is>
          <t>2年5班</t>
        </is>
      </c>
      <c r="D163" s="44" t="n">
        <v>1</v>
      </c>
      <c r="E163" s="52" t="inlineStr">
        <is>
          <t>音樂教室</t>
        </is>
      </c>
      <c r="F163" s="44" t="n"/>
      <c r="G163" s="44" t="n"/>
      <c r="H163" s="56">
        <f>IF(A163="","",SUMIF($A$5:$A$304,A163,$D$5:$D$304))</f>
        <v/>
      </c>
    </row>
    <row r="164" ht="15" customHeight="1" s="36">
      <c r="A164" s="44" t="inlineStr">
        <is>
          <t>音樂甲</t>
        </is>
      </c>
      <c r="B164" s="52" t="inlineStr">
        <is>
          <t>音樂</t>
        </is>
      </c>
      <c r="C164" s="52" t="inlineStr">
        <is>
          <t>2年6班</t>
        </is>
      </c>
      <c r="D164" s="44" t="n">
        <v>1</v>
      </c>
      <c r="E164" s="52" t="inlineStr">
        <is>
          <t>音樂教室</t>
        </is>
      </c>
      <c r="F164" s="44" t="n"/>
      <c r="G164" s="44" t="n"/>
      <c r="H164" s="56">
        <f>IF(A164="","",SUMIF($A$5:$A$304,A164,$D$5:$D$304))</f>
        <v/>
      </c>
    </row>
    <row r="165" ht="15" customHeight="1" s="36">
      <c r="A165" s="44" t="inlineStr">
        <is>
          <t>音樂甲</t>
        </is>
      </c>
      <c r="B165" s="52" t="inlineStr">
        <is>
          <t>音樂</t>
        </is>
      </c>
      <c r="C165" s="52" t="inlineStr">
        <is>
          <t>2年7班</t>
        </is>
      </c>
      <c r="D165" s="44" t="n">
        <v>1</v>
      </c>
      <c r="E165" s="52" t="inlineStr">
        <is>
          <t>音樂教室</t>
        </is>
      </c>
      <c r="F165" s="44" t="n"/>
      <c r="G165" s="44" t="n"/>
      <c r="H165" s="56">
        <f>IF(A165="","",SUMIF($A$5:$A$304,A165,$D$5:$D$304))</f>
        <v/>
      </c>
    </row>
    <row r="166" ht="15" customHeight="1" s="36">
      <c r="A166" s="44" t="inlineStr">
        <is>
          <t>音樂甲</t>
        </is>
      </c>
      <c r="B166" s="52" t="inlineStr">
        <is>
          <t>音樂</t>
        </is>
      </c>
      <c r="C166" s="52" t="inlineStr">
        <is>
          <t>2年8班</t>
        </is>
      </c>
      <c r="D166" s="44" t="n">
        <v>1</v>
      </c>
      <c r="E166" s="52" t="inlineStr">
        <is>
          <t>音樂教室</t>
        </is>
      </c>
      <c r="F166" s="44" t="n"/>
      <c r="G166" s="44" t="n"/>
      <c r="H166" s="56">
        <f>IF(A166="","",SUMIF($A$5:$A$304,A166,$D$5:$D$304))</f>
        <v/>
      </c>
    </row>
    <row r="167" ht="15" customHeight="1" s="36">
      <c r="A167" s="44" t="inlineStr">
        <is>
          <t>音樂乙</t>
        </is>
      </c>
      <c r="B167" s="52" t="inlineStr">
        <is>
          <t>音樂</t>
        </is>
      </c>
      <c r="C167" s="52" t="inlineStr">
        <is>
          <t>2年9班</t>
        </is>
      </c>
      <c r="D167" s="44" t="n">
        <v>1</v>
      </c>
      <c r="E167" s="52" t="inlineStr">
        <is>
          <t>音樂教室</t>
        </is>
      </c>
      <c r="F167" s="44" t="n"/>
      <c r="G167" s="44" t="n"/>
      <c r="H167" s="56">
        <f>IF(A167="","",SUMIF($A$5:$A$304,A167,$D$5:$D$304))</f>
        <v/>
      </c>
    </row>
    <row r="168" ht="15" customHeight="1" s="36">
      <c r="A168" s="44" t="inlineStr">
        <is>
          <t>音樂乙</t>
        </is>
      </c>
      <c r="B168" s="52" t="inlineStr">
        <is>
          <t>音樂</t>
        </is>
      </c>
      <c r="C168" s="52" t="inlineStr">
        <is>
          <t>2年10班</t>
        </is>
      </c>
      <c r="D168" s="44" t="n">
        <v>1</v>
      </c>
      <c r="E168" s="52" t="inlineStr">
        <is>
          <t>音樂教室</t>
        </is>
      </c>
      <c r="F168" s="44" t="n"/>
      <c r="G168" s="44" t="n"/>
      <c r="H168" s="56">
        <f>IF(A168="","",SUMIF($A$5:$A$304,A168,$D$5:$D$304))</f>
        <v/>
      </c>
    </row>
    <row r="169" ht="15" customHeight="1" s="36">
      <c r="A169" s="44" t="inlineStr">
        <is>
          <t>音樂乙</t>
        </is>
      </c>
      <c r="B169" s="52" t="inlineStr">
        <is>
          <t>音樂</t>
        </is>
      </c>
      <c r="C169" s="52" t="inlineStr">
        <is>
          <t>2年11班</t>
        </is>
      </c>
      <c r="D169" s="44" t="n">
        <v>1</v>
      </c>
      <c r="E169" s="52" t="inlineStr">
        <is>
          <t>音樂教室</t>
        </is>
      </c>
      <c r="F169" s="44" t="n"/>
      <c r="G169" s="44" t="n"/>
      <c r="H169" s="56">
        <f>IF(A169="","",SUMIF($A$5:$A$304,A169,$D$5:$D$304))</f>
        <v/>
      </c>
    </row>
    <row r="170" ht="15" customHeight="1" s="36">
      <c r="A170" s="44" t="inlineStr">
        <is>
          <t>音樂乙</t>
        </is>
      </c>
      <c r="B170" s="52" t="inlineStr">
        <is>
          <t>音樂</t>
        </is>
      </c>
      <c r="C170" s="52" t="inlineStr">
        <is>
          <t>3年1班</t>
        </is>
      </c>
      <c r="D170" s="44" t="n">
        <v>2</v>
      </c>
      <c r="E170" s="52" t="inlineStr">
        <is>
          <t>音樂教室</t>
        </is>
      </c>
      <c r="F170" s="44" t="n"/>
      <c r="G170" s="44" t="n"/>
      <c r="H170" s="56">
        <f>IF(A170="","",SUMIF($A$5:$A$304,A170,$D$5:$D$304))</f>
        <v/>
      </c>
    </row>
    <row r="171" ht="15" customHeight="1" s="36">
      <c r="A171" s="44" t="inlineStr">
        <is>
          <t>音樂乙</t>
        </is>
      </c>
      <c r="B171" s="52" t="inlineStr">
        <is>
          <t>音樂</t>
        </is>
      </c>
      <c r="C171" s="52" t="inlineStr">
        <is>
          <t>3年2班</t>
        </is>
      </c>
      <c r="D171" s="44" t="n">
        <v>2</v>
      </c>
      <c r="E171" s="52" t="inlineStr">
        <is>
          <t>音樂教室</t>
        </is>
      </c>
      <c r="F171" s="44" t="n"/>
      <c r="G171" s="44" t="n"/>
      <c r="H171" s="56">
        <f>IF(A171="","",SUMIF($A$5:$A$304,A171,$D$5:$D$304))</f>
        <v/>
      </c>
    </row>
    <row r="172" ht="15" customHeight="1" s="36">
      <c r="A172" s="44" t="inlineStr">
        <is>
          <t>音樂乙</t>
        </is>
      </c>
      <c r="B172" s="52" t="inlineStr">
        <is>
          <t>音樂</t>
        </is>
      </c>
      <c r="C172" s="52" t="inlineStr">
        <is>
          <t>3年3班</t>
        </is>
      </c>
      <c r="D172" s="44" t="n">
        <v>2</v>
      </c>
      <c r="E172" s="52" t="inlineStr">
        <is>
          <t>音樂教室</t>
        </is>
      </c>
      <c r="F172" s="44" t="n"/>
      <c r="G172" s="44" t="n"/>
      <c r="H172" s="56">
        <f>IF(A172="","",SUMIF($A$5:$A$304,A172,$D$5:$D$304))</f>
        <v/>
      </c>
    </row>
    <row r="173" ht="15" customHeight="1" s="36">
      <c r="A173" s="44" t="inlineStr">
        <is>
          <t>音樂乙</t>
        </is>
      </c>
      <c r="B173" s="52" t="inlineStr">
        <is>
          <t>音樂</t>
        </is>
      </c>
      <c r="C173" s="52" t="inlineStr">
        <is>
          <t>3年4班</t>
        </is>
      </c>
      <c r="D173" s="44" t="n">
        <v>2</v>
      </c>
      <c r="E173" s="52" t="inlineStr">
        <is>
          <t>音樂教室</t>
        </is>
      </c>
      <c r="F173" s="44" t="n"/>
      <c r="G173" s="44" t="n"/>
      <c r="H173" s="56">
        <f>IF(A173="","",SUMIF($A$5:$A$304,A173,$D$5:$D$304))</f>
        <v/>
      </c>
    </row>
    <row r="174" ht="15" customHeight="1" s="36">
      <c r="A174" s="44" t="inlineStr">
        <is>
          <t>音樂乙</t>
        </is>
      </c>
      <c r="B174" s="52" t="inlineStr">
        <is>
          <t>音樂</t>
        </is>
      </c>
      <c r="C174" s="52" t="inlineStr">
        <is>
          <t>3年5班</t>
        </is>
      </c>
      <c r="D174" s="44" t="n">
        <v>2</v>
      </c>
      <c r="E174" s="52" t="inlineStr">
        <is>
          <t>音樂教室</t>
        </is>
      </c>
      <c r="F174" s="44" t="n"/>
      <c r="G174" s="44" t="n"/>
      <c r="H174" s="56">
        <f>IF(A174="","",SUMIF($A$5:$A$304,A174,$D$5:$D$304))</f>
        <v/>
      </c>
    </row>
    <row r="175" ht="15" customHeight="1" s="36">
      <c r="A175" s="44" t="inlineStr">
        <is>
          <t>音樂乙</t>
        </is>
      </c>
      <c r="B175" s="52" t="inlineStr">
        <is>
          <t>音樂</t>
        </is>
      </c>
      <c r="C175" s="52" t="inlineStr">
        <is>
          <t>3年6班</t>
        </is>
      </c>
      <c r="D175" s="44" t="n">
        <v>2</v>
      </c>
      <c r="E175" s="52" t="inlineStr">
        <is>
          <t>音樂教室</t>
        </is>
      </c>
      <c r="F175" s="44" t="n"/>
      <c r="G175" s="44" t="n"/>
      <c r="H175" s="56">
        <f>IF(A175="","",SUMIF($A$5:$A$304,A175,$D$5:$D$304))</f>
        <v/>
      </c>
    </row>
    <row r="176" ht="15" customHeight="1" s="36">
      <c r="A176" s="44" t="inlineStr">
        <is>
          <t>音樂乙</t>
        </is>
      </c>
      <c r="B176" s="52" t="inlineStr">
        <is>
          <t>音樂</t>
        </is>
      </c>
      <c r="C176" s="52" t="inlineStr">
        <is>
          <t>3年7班</t>
        </is>
      </c>
      <c r="D176" s="44" t="n">
        <v>2</v>
      </c>
      <c r="E176" s="52" t="inlineStr">
        <is>
          <t>音樂教室</t>
        </is>
      </c>
      <c r="F176" s="44" t="n"/>
      <c r="G176" s="44" t="n"/>
      <c r="H176" s="56">
        <f>IF(A176="","",SUMIF($A$5:$A$304,A176,$D$5:$D$304))</f>
        <v/>
      </c>
    </row>
    <row r="177" ht="15" customHeight="1" s="36">
      <c r="A177" s="44" t="inlineStr">
        <is>
          <t>音樂乙</t>
        </is>
      </c>
      <c r="B177" s="52" t="inlineStr">
        <is>
          <t>音樂</t>
        </is>
      </c>
      <c r="C177" s="52" t="inlineStr">
        <is>
          <t>3年8班</t>
        </is>
      </c>
      <c r="D177" s="44" t="n">
        <v>2</v>
      </c>
      <c r="E177" s="52" t="inlineStr">
        <is>
          <t>音樂教室</t>
        </is>
      </c>
      <c r="F177" s="44" t="n"/>
      <c r="G177" s="44" t="n"/>
      <c r="H177" s="56">
        <f>IF(A177="","",SUMIF($A$5:$A$304,A177,$D$5:$D$304))</f>
        <v/>
      </c>
    </row>
    <row r="178" ht="15" customHeight="1" s="36">
      <c r="A178" s="44" t="inlineStr">
        <is>
          <t>音樂丙</t>
        </is>
      </c>
      <c r="B178" s="52" t="inlineStr">
        <is>
          <t>音樂</t>
        </is>
      </c>
      <c r="C178" s="52" t="inlineStr">
        <is>
          <t>3年9班</t>
        </is>
      </c>
      <c r="D178" s="44" t="n">
        <v>2</v>
      </c>
      <c r="E178" s="52" t="inlineStr">
        <is>
          <t>音樂教室</t>
        </is>
      </c>
      <c r="F178" s="44" t="n"/>
      <c r="G178" s="44" t="n"/>
      <c r="H178" s="56">
        <f>IF(A178="","",SUMIF($A$5:$A$304,A178,$D$5:$D$304))</f>
        <v/>
      </c>
    </row>
    <row r="179" ht="15" customHeight="1" s="36">
      <c r="A179" s="44" t="inlineStr">
        <is>
          <t>音樂丙</t>
        </is>
      </c>
      <c r="B179" s="52" t="inlineStr">
        <is>
          <t>音樂</t>
        </is>
      </c>
      <c r="C179" s="52" t="inlineStr">
        <is>
          <t>3年10班</t>
        </is>
      </c>
      <c r="D179" s="44" t="n">
        <v>2</v>
      </c>
      <c r="E179" s="52" t="inlineStr">
        <is>
          <t>音樂教室</t>
        </is>
      </c>
      <c r="F179" s="44" t="n"/>
      <c r="G179" s="44" t="n"/>
      <c r="H179" s="56">
        <f>IF(A179="","",SUMIF($A$5:$A$304,A179,$D$5:$D$304))</f>
        <v/>
      </c>
    </row>
    <row r="180" ht="15" customHeight="1" s="36">
      <c r="A180" s="44" t="inlineStr">
        <is>
          <t>音樂丙</t>
        </is>
      </c>
      <c r="B180" s="52" t="inlineStr">
        <is>
          <t>音樂</t>
        </is>
      </c>
      <c r="C180" s="52" t="inlineStr">
        <is>
          <t>3年11班</t>
        </is>
      </c>
      <c r="D180" s="44" t="n">
        <v>2</v>
      </c>
      <c r="E180" s="52" t="inlineStr">
        <is>
          <t>音樂教室</t>
        </is>
      </c>
      <c r="F180" s="44" t="n"/>
      <c r="G180" s="44" t="n"/>
      <c r="H180" s="56">
        <f>IF(A180="","",SUMIF($A$5:$A$304,A180,$D$5:$D$304))</f>
        <v/>
      </c>
    </row>
    <row r="181" ht="15" customHeight="1" s="36">
      <c r="A181" s="44" t="inlineStr">
        <is>
          <t>音樂丙</t>
        </is>
      </c>
      <c r="B181" s="52" t="inlineStr">
        <is>
          <t>音樂</t>
        </is>
      </c>
      <c r="C181" s="52" t="inlineStr">
        <is>
          <t>3年12班</t>
        </is>
      </c>
      <c r="D181" s="44" t="n">
        <v>2</v>
      </c>
      <c r="E181" s="52" t="inlineStr">
        <is>
          <t>音樂教室</t>
        </is>
      </c>
      <c r="F181" s="44" t="n"/>
      <c r="G181" s="44" t="n"/>
      <c r="H181" s="56">
        <f>IF(A181="","",SUMIF($A$5:$A$304,A181,$D$5:$D$304))</f>
        <v/>
      </c>
    </row>
    <row r="182" ht="15" customHeight="1" s="36">
      <c r="A182" s="44" t="inlineStr">
        <is>
          <t>音樂丙</t>
        </is>
      </c>
      <c r="B182" s="52" t="inlineStr">
        <is>
          <t>音樂</t>
        </is>
      </c>
      <c r="C182" s="52" t="inlineStr">
        <is>
          <t>4年1班</t>
        </is>
      </c>
      <c r="D182" s="44" t="n">
        <v>2</v>
      </c>
      <c r="E182" s="52" t="inlineStr">
        <is>
          <t>音樂教室</t>
        </is>
      </c>
      <c r="F182" s="44" t="n"/>
      <c r="G182" s="44" t="n"/>
      <c r="H182" s="56">
        <f>IF(A182="","",SUMIF($A$5:$A$304,A182,$D$5:$D$304))</f>
        <v/>
      </c>
    </row>
    <row r="183" ht="15" customHeight="1" s="36">
      <c r="A183" s="44" t="inlineStr">
        <is>
          <t>音樂丙</t>
        </is>
      </c>
      <c r="B183" s="52" t="inlineStr">
        <is>
          <t>音樂</t>
        </is>
      </c>
      <c r="C183" s="52" t="inlineStr">
        <is>
          <t>4年2班</t>
        </is>
      </c>
      <c r="D183" s="44" t="n">
        <v>2</v>
      </c>
      <c r="E183" s="52" t="inlineStr">
        <is>
          <t>音樂教室</t>
        </is>
      </c>
      <c r="F183" s="44" t="n"/>
      <c r="G183" s="44" t="n"/>
      <c r="H183" s="56">
        <f>IF(A183="","",SUMIF($A$5:$A$304,A183,$D$5:$D$304))</f>
        <v/>
      </c>
    </row>
    <row r="184" ht="15" customHeight="1" s="36">
      <c r="A184" s="44" t="inlineStr">
        <is>
          <t>音樂丙</t>
        </is>
      </c>
      <c r="B184" s="52" t="inlineStr">
        <is>
          <t>音樂</t>
        </is>
      </c>
      <c r="C184" s="52" t="inlineStr">
        <is>
          <t>4年3班</t>
        </is>
      </c>
      <c r="D184" s="44" t="n">
        <v>2</v>
      </c>
      <c r="E184" s="52" t="inlineStr">
        <is>
          <t>音樂教室</t>
        </is>
      </c>
      <c r="F184" s="44" t="n"/>
      <c r="G184" s="44" t="n"/>
      <c r="H184" s="56">
        <f>IF(A184="","",SUMIF($A$5:$A$304,A184,$D$5:$D$304))</f>
        <v/>
      </c>
    </row>
    <row r="185" ht="15" customHeight="1" s="36">
      <c r="A185" s="44" t="inlineStr">
        <is>
          <t>音樂丙</t>
        </is>
      </c>
      <c r="B185" s="52" t="inlineStr">
        <is>
          <t>音樂</t>
        </is>
      </c>
      <c r="C185" s="52" t="inlineStr">
        <is>
          <t>4年4班</t>
        </is>
      </c>
      <c r="D185" s="44" t="n">
        <v>2</v>
      </c>
      <c r="E185" s="52" t="inlineStr">
        <is>
          <t>音樂教室</t>
        </is>
      </c>
      <c r="F185" s="44" t="n"/>
      <c r="G185" s="44" t="n"/>
      <c r="H185" s="56">
        <f>IF(A185="","",SUMIF($A$5:$A$304,A185,$D$5:$D$304))</f>
        <v/>
      </c>
    </row>
    <row r="186" ht="15" customHeight="1" s="36">
      <c r="A186" s="44" t="inlineStr">
        <is>
          <t>音樂丙</t>
        </is>
      </c>
      <c r="B186" s="52" t="inlineStr">
        <is>
          <t>音樂</t>
        </is>
      </c>
      <c r="C186" s="52" t="inlineStr">
        <is>
          <t>4年5班</t>
        </is>
      </c>
      <c r="D186" s="44" t="n">
        <v>2</v>
      </c>
      <c r="E186" s="52" t="inlineStr">
        <is>
          <t>音樂教室</t>
        </is>
      </c>
      <c r="F186" s="44" t="n"/>
      <c r="G186" s="44" t="n"/>
      <c r="H186" s="56">
        <f>IF(A186="","",SUMIF($A$5:$A$304,A186,$D$5:$D$304))</f>
        <v/>
      </c>
    </row>
    <row r="187" ht="15" customHeight="1" s="36">
      <c r="A187" s="44" t="inlineStr">
        <is>
          <t>音樂丙</t>
        </is>
      </c>
      <c r="B187" s="52" t="inlineStr">
        <is>
          <t>音樂</t>
        </is>
      </c>
      <c r="C187" s="52" t="inlineStr">
        <is>
          <t>4年6班</t>
        </is>
      </c>
      <c r="D187" s="44" t="n">
        <v>2</v>
      </c>
      <c r="E187" s="52" t="inlineStr">
        <is>
          <t>音樂教室</t>
        </is>
      </c>
      <c r="F187" s="44" t="n"/>
      <c r="G187" s="44" t="n"/>
      <c r="H187" s="56">
        <f>IF(A187="","",SUMIF($A$5:$A$304,A187,$D$5:$D$304))</f>
        <v/>
      </c>
    </row>
    <row r="188" ht="15" customHeight="1" s="36">
      <c r="A188" s="44" t="inlineStr">
        <is>
          <t>音樂丁</t>
        </is>
      </c>
      <c r="B188" s="52" t="inlineStr">
        <is>
          <t>音樂</t>
        </is>
      </c>
      <c r="C188" s="52" t="inlineStr">
        <is>
          <t>4年7班</t>
        </is>
      </c>
      <c r="D188" s="44" t="n">
        <v>2</v>
      </c>
      <c r="E188" s="52" t="inlineStr">
        <is>
          <t>音樂教室</t>
        </is>
      </c>
      <c r="F188" s="44" t="n"/>
      <c r="G188" s="44" t="n"/>
      <c r="H188" s="56">
        <f>IF(A188="","",SUMIF($A$5:$A$304,A188,$D$5:$D$304))</f>
        <v/>
      </c>
    </row>
    <row r="189" ht="15" customHeight="1" s="36">
      <c r="A189" s="44" t="inlineStr">
        <is>
          <t>音樂丁</t>
        </is>
      </c>
      <c r="B189" s="52" t="inlineStr">
        <is>
          <t>音樂</t>
        </is>
      </c>
      <c r="C189" s="52" t="inlineStr">
        <is>
          <t>4年8班</t>
        </is>
      </c>
      <c r="D189" s="44" t="n">
        <v>2</v>
      </c>
      <c r="E189" s="52" t="inlineStr">
        <is>
          <t>音樂教室</t>
        </is>
      </c>
      <c r="F189" s="44" t="n"/>
      <c r="G189" s="44" t="n"/>
      <c r="H189" s="56">
        <f>IF(A189="","",SUMIF($A$5:$A$304,A189,$D$5:$D$304))</f>
        <v/>
      </c>
    </row>
    <row r="190" ht="15" customHeight="1" s="36">
      <c r="A190" s="44" t="inlineStr">
        <is>
          <t>音樂丁</t>
        </is>
      </c>
      <c r="B190" s="52" t="inlineStr">
        <is>
          <t>音樂</t>
        </is>
      </c>
      <c r="C190" s="52" t="inlineStr">
        <is>
          <t>4年9班</t>
        </is>
      </c>
      <c r="D190" s="44" t="n">
        <v>2</v>
      </c>
      <c r="E190" s="52" t="inlineStr">
        <is>
          <t>音樂教室</t>
        </is>
      </c>
      <c r="F190" s="44" t="n"/>
      <c r="G190" s="44" t="n"/>
      <c r="H190" s="56">
        <f>IF(A190="","",SUMIF($A$5:$A$304,A190,$D$5:$D$304))</f>
        <v/>
      </c>
    </row>
    <row r="191" ht="15" customHeight="1" s="36">
      <c r="A191" s="44" t="inlineStr">
        <is>
          <t>音樂丁</t>
        </is>
      </c>
      <c r="B191" s="52" t="inlineStr">
        <is>
          <t>音樂</t>
        </is>
      </c>
      <c r="C191" s="52" t="inlineStr">
        <is>
          <t>4年10班</t>
        </is>
      </c>
      <c r="D191" s="44" t="n">
        <v>2</v>
      </c>
      <c r="E191" s="52" t="inlineStr">
        <is>
          <t>音樂教室</t>
        </is>
      </c>
      <c r="F191" s="44" t="n"/>
      <c r="G191" s="44" t="n"/>
      <c r="H191" s="56">
        <f>IF(A191="","",SUMIF($A$5:$A$304,A191,$D$5:$D$304))</f>
        <v/>
      </c>
    </row>
    <row r="192" ht="15" customHeight="1" s="36">
      <c r="A192" s="44" t="inlineStr">
        <is>
          <t>音樂丁</t>
        </is>
      </c>
      <c r="B192" s="52" t="inlineStr">
        <is>
          <t>音樂</t>
        </is>
      </c>
      <c r="C192" s="52" t="inlineStr">
        <is>
          <t>4年11班</t>
        </is>
      </c>
      <c r="D192" s="44" t="n">
        <v>2</v>
      </c>
      <c r="E192" s="52" t="inlineStr">
        <is>
          <t>音樂教室</t>
        </is>
      </c>
      <c r="F192" s="44" t="n"/>
      <c r="G192" s="44" t="n"/>
      <c r="H192" s="56">
        <f>IF(A192="","",SUMIF($A$5:$A$304,A192,$D$5:$D$304))</f>
        <v/>
      </c>
    </row>
    <row r="193" ht="15" customHeight="1" s="36">
      <c r="A193" s="44" t="inlineStr">
        <is>
          <t>音樂丁</t>
        </is>
      </c>
      <c r="B193" s="52" t="inlineStr">
        <is>
          <t>音樂</t>
        </is>
      </c>
      <c r="C193" s="52" t="inlineStr">
        <is>
          <t>4年12班</t>
        </is>
      </c>
      <c r="D193" s="44" t="n">
        <v>2</v>
      </c>
      <c r="E193" s="52" t="inlineStr">
        <is>
          <t>音樂教室</t>
        </is>
      </c>
      <c r="F193" s="44" t="n"/>
      <c r="G193" s="44" t="n"/>
      <c r="H193" s="56">
        <f>IF(A193="","",SUMIF($A$5:$A$304,A193,$D$5:$D$304))</f>
        <v/>
      </c>
    </row>
    <row r="194" ht="15" customHeight="1" s="36">
      <c r="A194" s="44" t="inlineStr">
        <is>
          <t>音樂丁</t>
        </is>
      </c>
      <c r="B194" s="52" t="inlineStr">
        <is>
          <t>音樂</t>
        </is>
      </c>
      <c r="C194" s="52" t="inlineStr">
        <is>
          <t>5年1班</t>
        </is>
      </c>
      <c r="D194" s="44" t="n">
        <v>2</v>
      </c>
      <c r="E194" s="52" t="inlineStr">
        <is>
          <t>音樂教室</t>
        </is>
      </c>
      <c r="F194" s="44" t="n"/>
      <c r="G194" s="44" t="n"/>
      <c r="H194" s="56">
        <f>IF(A194="","",SUMIF($A$5:$A$304,A194,$D$5:$D$304))</f>
        <v/>
      </c>
    </row>
    <row r="195" ht="15" customHeight="1" s="36">
      <c r="A195" s="44" t="inlineStr">
        <is>
          <t>音樂丁</t>
        </is>
      </c>
      <c r="B195" s="52" t="inlineStr">
        <is>
          <t>音樂</t>
        </is>
      </c>
      <c r="C195" s="52" t="inlineStr">
        <is>
          <t>5年2班</t>
        </is>
      </c>
      <c r="D195" s="44" t="n">
        <v>2</v>
      </c>
      <c r="E195" s="52" t="inlineStr">
        <is>
          <t>音樂教室</t>
        </is>
      </c>
      <c r="F195" s="44" t="n"/>
      <c r="G195" s="44" t="n"/>
      <c r="H195" s="56">
        <f>IF(A195="","",SUMIF($A$5:$A$304,A195,$D$5:$D$304))</f>
        <v/>
      </c>
    </row>
    <row r="196" ht="15" customHeight="1" s="36">
      <c r="A196" s="44" t="inlineStr">
        <is>
          <t>音樂丁</t>
        </is>
      </c>
      <c r="B196" s="52" t="inlineStr">
        <is>
          <t>音樂</t>
        </is>
      </c>
      <c r="C196" s="52" t="inlineStr">
        <is>
          <t>5年3班</t>
        </is>
      </c>
      <c r="D196" s="44" t="n">
        <v>2</v>
      </c>
      <c r="E196" s="52" t="inlineStr">
        <is>
          <t>音樂教室</t>
        </is>
      </c>
      <c r="F196" s="44" t="n"/>
      <c r="G196" s="44" t="n"/>
      <c r="H196" s="56">
        <f>IF(A196="","",SUMIF($A$5:$A$304,A196,$D$5:$D$304))</f>
        <v/>
      </c>
    </row>
    <row r="197" ht="15" customHeight="1" s="36">
      <c r="A197" s="44" t="inlineStr">
        <is>
          <t>音樂丁</t>
        </is>
      </c>
      <c r="B197" s="52" t="inlineStr">
        <is>
          <t>音樂</t>
        </is>
      </c>
      <c r="C197" s="52" t="inlineStr">
        <is>
          <t>5年4班</t>
        </is>
      </c>
      <c r="D197" s="44" t="n">
        <v>2</v>
      </c>
      <c r="E197" s="52" t="inlineStr">
        <is>
          <t>音樂教室</t>
        </is>
      </c>
      <c r="F197" s="44" t="n"/>
      <c r="G197" s="44" t="n"/>
      <c r="H197" s="56">
        <f>IF(A197="","",SUMIF($A$5:$A$304,A197,$D$5:$D$304))</f>
        <v/>
      </c>
    </row>
    <row r="198" ht="15" customHeight="1" s="36">
      <c r="A198" s="44" t="inlineStr">
        <is>
          <t>音樂戊</t>
        </is>
      </c>
      <c r="B198" s="52" t="inlineStr">
        <is>
          <t>音樂</t>
        </is>
      </c>
      <c r="C198" s="52" t="inlineStr">
        <is>
          <t>5年5班</t>
        </is>
      </c>
      <c r="D198" s="44" t="n">
        <v>2</v>
      </c>
      <c r="E198" s="52" t="inlineStr">
        <is>
          <t>音樂教室</t>
        </is>
      </c>
      <c r="F198" s="44" t="n"/>
      <c r="G198" s="44" t="n"/>
      <c r="H198" s="56">
        <f>IF(A198="","",SUMIF($A$5:$A$304,A198,$D$5:$D$304))</f>
        <v/>
      </c>
    </row>
    <row r="199" ht="15" customHeight="1" s="36">
      <c r="A199" s="44" t="inlineStr">
        <is>
          <t>音樂戊</t>
        </is>
      </c>
      <c r="B199" s="52" t="inlineStr">
        <is>
          <t>音樂</t>
        </is>
      </c>
      <c r="C199" s="52" t="inlineStr">
        <is>
          <t>5年6班</t>
        </is>
      </c>
      <c r="D199" s="44" t="n">
        <v>2</v>
      </c>
      <c r="E199" s="52" t="inlineStr">
        <is>
          <t>音樂教室</t>
        </is>
      </c>
      <c r="F199" s="44" t="n"/>
      <c r="G199" s="44" t="n"/>
      <c r="H199" s="56">
        <f>IF(A199="","",SUMIF($A$5:$A$304,A199,$D$5:$D$304))</f>
        <v/>
      </c>
    </row>
    <row r="200" ht="15" customHeight="1" s="36">
      <c r="A200" s="44" t="inlineStr">
        <is>
          <t>音樂戊</t>
        </is>
      </c>
      <c r="B200" s="52" t="inlineStr">
        <is>
          <t>音樂</t>
        </is>
      </c>
      <c r="C200" s="52" t="inlineStr">
        <is>
          <t>5年7班</t>
        </is>
      </c>
      <c r="D200" s="44" t="n">
        <v>2</v>
      </c>
      <c r="E200" s="52" t="inlineStr">
        <is>
          <t>音樂教室</t>
        </is>
      </c>
      <c r="F200" s="44" t="n"/>
      <c r="G200" s="44" t="n"/>
      <c r="H200" s="56">
        <f>IF(A200="","",SUMIF($A$5:$A$304,A200,$D$5:$D$304))</f>
        <v/>
      </c>
    </row>
    <row r="201" ht="15" customHeight="1" s="36">
      <c r="A201" s="44" t="inlineStr">
        <is>
          <t>音樂戊</t>
        </is>
      </c>
      <c r="B201" s="52" t="inlineStr">
        <is>
          <t>音樂</t>
        </is>
      </c>
      <c r="C201" s="52" t="inlineStr">
        <is>
          <t>5年8班</t>
        </is>
      </c>
      <c r="D201" s="44" t="n">
        <v>2</v>
      </c>
      <c r="E201" s="52" t="inlineStr">
        <is>
          <t>音樂教室</t>
        </is>
      </c>
      <c r="F201" s="44" t="n"/>
      <c r="G201" s="44" t="n"/>
      <c r="H201" s="56">
        <f>IF(A201="","",SUMIF($A$5:$A$304,A201,$D$5:$D$304))</f>
        <v/>
      </c>
    </row>
    <row r="202" ht="15" customHeight="1" s="36">
      <c r="A202" s="44" t="inlineStr">
        <is>
          <t>音樂戊</t>
        </is>
      </c>
      <c r="B202" s="52" t="inlineStr">
        <is>
          <t>音樂</t>
        </is>
      </c>
      <c r="C202" s="52" t="inlineStr">
        <is>
          <t>5年9班</t>
        </is>
      </c>
      <c r="D202" s="44" t="n">
        <v>2</v>
      </c>
      <c r="E202" s="52" t="inlineStr">
        <is>
          <t>音樂教室</t>
        </is>
      </c>
      <c r="F202" s="44" t="n"/>
      <c r="G202" s="44" t="n"/>
      <c r="H202" s="56">
        <f>IF(A202="","",SUMIF($A$5:$A$304,A202,$D$5:$D$304))</f>
        <v/>
      </c>
    </row>
    <row r="203" ht="15" customHeight="1" s="36">
      <c r="A203" s="44" t="inlineStr">
        <is>
          <t>音樂戊</t>
        </is>
      </c>
      <c r="B203" s="52" t="inlineStr">
        <is>
          <t>音樂</t>
        </is>
      </c>
      <c r="C203" s="52" t="inlineStr">
        <is>
          <t>5年10班</t>
        </is>
      </c>
      <c r="D203" s="44" t="n">
        <v>2</v>
      </c>
      <c r="E203" s="52" t="inlineStr">
        <is>
          <t>音樂教室</t>
        </is>
      </c>
      <c r="F203" s="44" t="n"/>
      <c r="G203" s="44" t="n"/>
      <c r="H203" s="56">
        <f>IF(A203="","",SUMIF($A$5:$A$304,A203,$D$5:$D$304))</f>
        <v/>
      </c>
    </row>
    <row r="204" ht="15" customHeight="1" s="36">
      <c r="A204" s="44" t="inlineStr">
        <is>
          <t>音樂戊</t>
        </is>
      </c>
      <c r="B204" s="52" t="inlineStr">
        <is>
          <t>音樂</t>
        </is>
      </c>
      <c r="C204" s="52" t="inlineStr">
        <is>
          <t>5年11班</t>
        </is>
      </c>
      <c r="D204" s="44" t="n">
        <v>2</v>
      </c>
      <c r="E204" s="52" t="inlineStr">
        <is>
          <t>音樂教室</t>
        </is>
      </c>
      <c r="F204" s="44" t="n"/>
      <c r="G204" s="44" t="n"/>
      <c r="H204" s="56">
        <f>IF(A204="","",SUMIF($A$5:$A$304,A204,$D$5:$D$304))</f>
        <v/>
      </c>
    </row>
    <row r="205" ht="15" customHeight="1" s="36">
      <c r="A205" s="44" t="inlineStr">
        <is>
          <t>音樂戊</t>
        </is>
      </c>
      <c r="B205" s="52" t="inlineStr">
        <is>
          <t>音樂</t>
        </is>
      </c>
      <c r="C205" s="52" t="inlineStr">
        <is>
          <t>5年12班</t>
        </is>
      </c>
      <c r="D205" s="44" t="n">
        <v>2</v>
      </c>
      <c r="E205" s="52" t="inlineStr">
        <is>
          <t>音樂教室</t>
        </is>
      </c>
      <c r="F205" s="44" t="n"/>
      <c r="G205" s="44" t="n"/>
      <c r="H205" s="56">
        <f>IF(A205="","",SUMIF($A$5:$A$304,A205,$D$5:$D$304))</f>
        <v/>
      </c>
    </row>
    <row r="206" ht="15" customHeight="1" s="36">
      <c r="A206" s="44" t="inlineStr">
        <is>
          <t>音樂戊</t>
        </is>
      </c>
      <c r="B206" s="52" t="inlineStr">
        <is>
          <t>音樂</t>
        </is>
      </c>
      <c r="C206" s="52" t="inlineStr">
        <is>
          <t>6年1班</t>
        </is>
      </c>
      <c r="D206" s="44" t="n">
        <v>2</v>
      </c>
      <c r="E206" s="52" t="inlineStr">
        <is>
          <t>音樂教室</t>
        </is>
      </c>
      <c r="F206" s="44" t="n"/>
      <c r="G206" s="44" t="n"/>
      <c r="H206" s="56">
        <f>IF(A206="","",SUMIF($A$5:$A$304,A206,$D$5:$D$304))</f>
        <v/>
      </c>
    </row>
    <row r="207" ht="15" customHeight="1" s="36">
      <c r="A207" s="44" t="inlineStr">
        <is>
          <t>音樂戊</t>
        </is>
      </c>
      <c r="B207" s="52" t="inlineStr">
        <is>
          <t>音樂</t>
        </is>
      </c>
      <c r="C207" s="52" t="inlineStr">
        <is>
          <t>6年2班</t>
        </is>
      </c>
      <c r="D207" s="44" t="n">
        <v>2</v>
      </c>
      <c r="E207" s="52" t="inlineStr">
        <is>
          <t>音樂教室</t>
        </is>
      </c>
      <c r="F207" s="44" t="n"/>
      <c r="G207" s="44" t="n"/>
      <c r="H207" s="56">
        <f>IF(A207="","",SUMIF($A$5:$A$304,A207,$D$5:$D$304))</f>
        <v/>
      </c>
    </row>
    <row r="208" ht="15" customHeight="1" s="36">
      <c r="A208" s="44" t="inlineStr">
        <is>
          <t>音樂己</t>
        </is>
      </c>
      <c r="B208" s="52" t="inlineStr">
        <is>
          <t>音樂</t>
        </is>
      </c>
      <c r="C208" s="52" t="inlineStr">
        <is>
          <t>6年3班</t>
        </is>
      </c>
      <c r="D208" s="44" t="n">
        <v>2</v>
      </c>
      <c r="E208" s="52" t="inlineStr">
        <is>
          <t>音樂教室</t>
        </is>
      </c>
      <c r="F208" s="44" t="n"/>
      <c r="G208" s="44" t="n"/>
      <c r="H208" s="56">
        <f>IF(A208="","",SUMIF($A$5:$A$304,A208,$D$5:$D$304))</f>
        <v/>
      </c>
    </row>
    <row r="209" ht="15" customHeight="1" s="36">
      <c r="A209" s="44" t="inlineStr">
        <is>
          <t>音樂己</t>
        </is>
      </c>
      <c r="B209" s="52" t="inlineStr">
        <is>
          <t>音樂</t>
        </is>
      </c>
      <c r="C209" s="52" t="inlineStr">
        <is>
          <t>6年4班</t>
        </is>
      </c>
      <c r="D209" s="44" t="n">
        <v>2</v>
      </c>
      <c r="E209" s="52" t="inlineStr">
        <is>
          <t>音樂教室</t>
        </is>
      </c>
      <c r="F209" s="44" t="n"/>
      <c r="G209" s="44" t="n"/>
      <c r="H209" s="56">
        <f>IF(A209="","",SUMIF($A$5:$A$304,A209,$D$5:$D$304))</f>
        <v/>
      </c>
    </row>
    <row r="210" ht="15" customHeight="1" s="36">
      <c r="A210" s="44" t="inlineStr">
        <is>
          <t>音樂己</t>
        </is>
      </c>
      <c r="B210" s="52" t="inlineStr">
        <is>
          <t>音樂</t>
        </is>
      </c>
      <c r="C210" s="52" t="inlineStr">
        <is>
          <t>6年5班</t>
        </is>
      </c>
      <c r="D210" s="44" t="n">
        <v>2</v>
      </c>
      <c r="E210" s="52" t="inlineStr">
        <is>
          <t>音樂教室</t>
        </is>
      </c>
      <c r="F210" s="44" t="n"/>
      <c r="G210" s="44" t="n"/>
      <c r="H210" s="56">
        <f>IF(A210="","",SUMIF($A$5:$A$304,A210,$D$5:$D$304))</f>
        <v/>
      </c>
    </row>
    <row r="211" ht="15" customHeight="1" s="36">
      <c r="A211" s="44" t="inlineStr">
        <is>
          <t>音樂己</t>
        </is>
      </c>
      <c r="B211" s="52" t="inlineStr">
        <is>
          <t>音樂</t>
        </is>
      </c>
      <c r="C211" s="52" t="inlineStr">
        <is>
          <t>6年6班</t>
        </is>
      </c>
      <c r="D211" s="44" t="n">
        <v>2</v>
      </c>
      <c r="E211" s="52" t="inlineStr">
        <is>
          <t>音樂教室</t>
        </is>
      </c>
      <c r="F211" s="44" t="n"/>
      <c r="G211" s="44" t="n"/>
      <c r="H211" s="56">
        <f>IF(A211="","",SUMIF($A$5:$A$304,A211,$D$5:$D$304))</f>
        <v/>
      </c>
    </row>
    <row r="212" ht="15" customHeight="1" s="36">
      <c r="A212" s="44" t="inlineStr">
        <is>
          <t>音樂己</t>
        </is>
      </c>
      <c r="B212" s="52" t="inlineStr">
        <is>
          <t>音樂</t>
        </is>
      </c>
      <c r="C212" s="52" t="inlineStr">
        <is>
          <t>6年7班</t>
        </is>
      </c>
      <c r="D212" s="44" t="n">
        <v>2</v>
      </c>
      <c r="E212" s="52" t="inlineStr">
        <is>
          <t>音樂教室</t>
        </is>
      </c>
      <c r="F212" s="44" t="n"/>
      <c r="G212" s="44" t="n"/>
      <c r="H212" s="56">
        <f>IF(A212="","",SUMIF($A$5:$A$304,A212,$D$5:$D$304))</f>
        <v/>
      </c>
    </row>
    <row r="213" ht="15" customHeight="1" s="36">
      <c r="A213" s="44" t="inlineStr">
        <is>
          <t>音樂己</t>
        </is>
      </c>
      <c r="B213" s="52" t="inlineStr">
        <is>
          <t>音樂</t>
        </is>
      </c>
      <c r="C213" s="52" t="inlineStr">
        <is>
          <t>6年8班</t>
        </is>
      </c>
      <c r="D213" s="44" t="n">
        <v>2</v>
      </c>
      <c r="E213" s="52" t="inlineStr">
        <is>
          <t>音樂教室</t>
        </is>
      </c>
      <c r="F213" s="44" t="n"/>
      <c r="G213" s="44" t="n"/>
      <c r="H213" s="56">
        <f>IF(A213="","",SUMIF($A$5:$A$304,A213,$D$5:$D$304))</f>
        <v/>
      </c>
    </row>
    <row r="214" ht="15" customHeight="1" s="36">
      <c r="A214" s="44" t="inlineStr">
        <is>
          <t>音樂己</t>
        </is>
      </c>
      <c r="B214" s="52" t="inlineStr">
        <is>
          <t>音樂</t>
        </is>
      </c>
      <c r="C214" s="52" t="inlineStr">
        <is>
          <t>6年9班</t>
        </is>
      </c>
      <c r="D214" s="44" t="n">
        <v>2</v>
      </c>
      <c r="E214" s="52" t="inlineStr">
        <is>
          <t>音樂教室</t>
        </is>
      </c>
      <c r="F214" s="44" t="n"/>
      <c r="G214" s="44" t="n"/>
      <c r="H214" s="56">
        <f>IF(A214="","",SUMIF($A$5:$A$304,A214,$D$5:$D$304))</f>
        <v/>
      </c>
    </row>
    <row r="215" ht="15" customHeight="1" s="36">
      <c r="A215" s="44" t="inlineStr">
        <is>
          <t>音樂己</t>
        </is>
      </c>
      <c r="B215" s="52" t="inlineStr">
        <is>
          <t>音樂</t>
        </is>
      </c>
      <c r="C215" s="52" t="inlineStr">
        <is>
          <t>6年10班</t>
        </is>
      </c>
      <c r="D215" s="44" t="n">
        <v>2</v>
      </c>
      <c r="E215" s="52" t="inlineStr">
        <is>
          <t>音樂教室</t>
        </is>
      </c>
      <c r="F215" s="44" t="n"/>
      <c r="G215" s="44" t="n"/>
      <c r="H215" s="56">
        <f>IF(A215="","",SUMIF($A$5:$A$304,A215,$D$5:$D$304))</f>
        <v/>
      </c>
    </row>
    <row r="216" ht="15" customHeight="1" s="36">
      <c r="A216" s="44" t="inlineStr">
        <is>
          <t>音樂己</t>
        </is>
      </c>
      <c r="B216" s="52" t="inlineStr">
        <is>
          <t>音樂</t>
        </is>
      </c>
      <c r="C216" s="52" t="inlineStr">
        <is>
          <t>6年11班</t>
        </is>
      </c>
      <c r="D216" s="44" t="n">
        <v>2</v>
      </c>
      <c r="E216" s="52" t="inlineStr">
        <is>
          <t>音樂教室</t>
        </is>
      </c>
      <c r="F216" s="44" t="n"/>
      <c r="G216" s="44" t="n"/>
      <c r="H216" s="56">
        <f>IF(A216="","",SUMIF($A$5:$A$304,A216,$D$5:$D$304))</f>
        <v/>
      </c>
    </row>
    <row r="217" ht="15" customHeight="1" s="36">
      <c r="A217" s="44" t="inlineStr">
        <is>
          <t>音樂己</t>
        </is>
      </c>
      <c r="B217" s="52" t="inlineStr">
        <is>
          <t>音樂</t>
        </is>
      </c>
      <c r="C217" s="52" t="inlineStr">
        <is>
          <t>6年12班</t>
        </is>
      </c>
      <c r="D217" s="44" t="n">
        <v>2</v>
      </c>
      <c r="E217" s="52" t="inlineStr">
        <is>
          <t>音樂教室</t>
        </is>
      </c>
      <c r="F217" s="44" t="n"/>
      <c r="G217" s="44" t="n"/>
      <c r="H217" s="56">
        <f>IF(A217="","",SUMIF($A$5:$A$304,A217,$D$5:$D$304))</f>
        <v/>
      </c>
    </row>
    <row r="218" ht="15" customHeight="1" s="36">
      <c r="A218" s="44" t="inlineStr">
        <is>
          <t>自然甲</t>
        </is>
      </c>
      <c r="B218" s="52" t="inlineStr">
        <is>
          <t>自然</t>
        </is>
      </c>
      <c r="C218" s="52" t="inlineStr">
        <is>
          <t>3年1班</t>
        </is>
      </c>
      <c r="D218" s="44" t="n">
        <v>3</v>
      </c>
      <c r="E218" s="52" t="inlineStr">
        <is>
          <t>自然教室</t>
        </is>
      </c>
      <c r="F218" s="44" t="n">
        <v>2</v>
      </c>
      <c r="G218" s="44" t="inlineStr">
        <is>
          <t>另1節在原班</t>
        </is>
      </c>
      <c r="H218" s="56">
        <f>IF(A218="","",SUMIF($A$5:$A$304,A218,$D$5:$D$304))</f>
        <v/>
      </c>
    </row>
    <row r="219" ht="15" customHeight="1" s="36">
      <c r="A219" s="44" t="inlineStr">
        <is>
          <t>自然甲</t>
        </is>
      </c>
      <c r="B219" s="52" t="inlineStr">
        <is>
          <t>自然</t>
        </is>
      </c>
      <c r="C219" s="52" t="inlineStr">
        <is>
          <t>3年2班</t>
        </is>
      </c>
      <c r="D219" s="44" t="n">
        <v>3</v>
      </c>
      <c r="E219" s="52" t="inlineStr">
        <is>
          <t>自然教室</t>
        </is>
      </c>
      <c r="F219" s="44" t="n">
        <v>2</v>
      </c>
      <c r="G219" s="44" t="inlineStr">
        <is>
          <t>另1節在原班</t>
        </is>
      </c>
      <c r="H219" s="56">
        <f>IF(A219="","",SUMIF($A$5:$A$304,A219,$D$5:$D$304))</f>
        <v/>
      </c>
    </row>
    <row r="220" ht="15" customHeight="1" s="36">
      <c r="A220" s="44" t="inlineStr">
        <is>
          <t>自然甲</t>
        </is>
      </c>
      <c r="B220" s="52" t="inlineStr">
        <is>
          <t>自然</t>
        </is>
      </c>
      <c r="C220" s="52" t="inlineStr">
        <is>
          <t>3年3班</t>
        </is>
      </c>
      <c r="D220" s="44" t="n">
        <v>3</v>
      </c>
      <c r="E220" s="52" t="inlineStr">
        <is>
          <t>自然教室</t>
        </is>
      </c>
      <c r="F220" s="44" t="n">
        <v>2</v>
      </c>
      <c r="G220" s="44" t="inlineStr">
        <is>
          <t>另1節在原班</t>
        </is>
      </c>
      <c r="H220" s="56">
        <f>IF(A220="","",SUMIF($A$5:$A$304,A220,$D$5:$D$304))</f>
        <v/>
      </c>
    </row>
    <row r="221" ht="15" customHeight="1" s="36">
      <c r="A221" s="44" t="inlineStr">
        <is>
          <t>自然甲</t>
        </is>
      </c>
      <c r="B221" s="52" t="inlineStr">
        <is>
          <t>自然</t>
        </is>
      </c>
      <c r="C221" s="52" t="inlineStr">
        <is>
          <t>3年4班</t>
        </is>
      </c>
      <c r="D221" s="44" t="n">
        <v>3</v>
      </c>
      <c r="E221" s="52" t="inlineStr">
        <is>
          <t>自然教室</t>
        </is>
      </c>
      <c r="F221" s="44" t="n">
        <v>2</v>
      </c>
      <c r="G221" s="44" t="inlineStr">
        <is>
          <t>另1節在原班</t>
        </is>
      </c>
      <c r="H221" s="56">
        <f>IF(A221="","",SUMIF($A$5:$A$304,A221,$D$5:$D$304))</f>
        <v/>
      </c>
    </row>
    <row r="222" ht="15" customHeight="1" s="36">
      <c r="A222" s="44" t="inlineStr">
        <is>
          <t>自然甲</t>
        </is>
      </c>
      <c r="B222" s="52" t="inlineStr">
        <is>
          <t>自然</t>
        </is>
      </c>
      <c r="C222" s="52" t="inlineStr">
        <is>
          <t>3年5班</t>
        </is>
      </c>
      <c r="D222" s="44" t="n">
        <v>3</v>
      </c>
      <c r="E222" s="52" t="inlineStr">
        <is>
          <t>自然教室</t>
        </is>
      </c>
      <c r="F222" s="44" t="n">
        <v>2</v>
      </c>
      <c r="G222" s="44" t="inlineStr">
        <is>
          <t>另1節在原班</t>
        </is>
      </c>
      <c r="H222" s="56">
        <f>IF(A222="","",SUMIF($A$5:$A$304,A222,$D$5:$D$304))</f>
        <v/>
      </c>
    </row>
    <row r="223" ht="15" customHeight="1" s="36">
      <c r="A223" s="44" t="inlineStr">
        <is>
          <t>自然甲</t>
        </is>
      </c>
      <c r="B223" s="52" t="inlineStr">
        <is>
          <t>自然</t>
        </is>
      </c>
      <c r="C223" s="52" t="inlineStr">
        <is>
          <t>3年6班</t>
        </is>
      </c>
      <c r="D223" s="44" t="n">
        <v>3</v>
      </c>
      <c r="E223" s="52" t="inlineStr">
        <is>
          <t>自然教室</t>
        </is>
      </c>
      <c r="F223" s="44" t="n">
        <v>2</v>
      </c>
      <c r="G223" s="44" t="inlineStr">
        <is>
          <t>另1節在原班</t>
        </is>
      </c>
      <c r="H223" s="56">
        <f>IF(A223="","",SUMIF($A$5:$A$304,A223,$D$5:$D$304))</f>
        <v/>
      </c>
    </row>
    <row r="224" ht="15" customHeight="1" s="36">
      <c r="A224" s="44" t="inlineStr">
        <is>
          <t>自然甲</t>
        </is>
      </c>
      <c r="B224" s="52" t="inlineStr">
        <is>
          <t>自然</t>
        </is>
      </c>
      <c r="C224" s="52" t="inlineStr">
        <is>
          <t>3年7班</t>
        </is>
      </c>
      <c r="D224" s="44" t="n">
        <v>3</v>
      </c>
      <c r="E224" s="52" t="inlineStr">
        <is>
          <t>自然教室</t>
        </is>
      </c>
      <c r="F224" s="44" t="n">
        <v>2</v>
      </c>
      <c r="G224" s="44" t="inlineStr">
        <is>
          <t>另1節在原班</t>
        </is>
      </c>
      <c r="H224" s="56">
        <f>IF(A224="","",SUMIF($A$5:$A$304,A224,$D$5:$D$304))</f>
        <v/>
      </c>
    </row>
    <row r="225" ht="15" customHeight="1" s="36">
      <c r="A225" s="44" t="inlineStr">
        <is>
          <t>自然乙</t>
        </is>
      </c>
      <c r="B225" s="52" t="inlineStr">
        <is>
          <t>自然</t>
        </is>
      </c>
      <c r="C225" s="52" t="inlineStr">
        <is>
          <t>3年8班</t>
        </is>
      </c>
      <c r="D225" s="44" t="n">
        <v>3</v>
      </c>
      <c r="E225" s="52" t="inlineStr">
        <is>
          <t>自然教室</t>
        </is>
      </c>
      <c r="F225" s="44" t="n">
        <v>2</v>
      </c>
      <c r="G225" s="44" t="inlineStr">
        <is>
          <t>另1節在原班</t>
        </is>
      </c>
      <c r="H225" s="56">
        <f>IF(A225="","",SUMIF($A$5:$A$304,A225,$D$5:$D$304))</f>
        <v/>
      </c>
    </row>
    <row r="226" ht="15" customHeight="1" s="36">
      <c r="A226" s="44" t="inlineStr">
        <is>
          <t>自然乙</t>
        </is>
      </c>
      <c r="B226" s="52" t="inlineStr">
        <is>
          <t>自然</t>
        </is>
      </c>
      <c r="C226" s="52" t="inlineStr">
        <is>
          <t>3年9班</t>
        </is>
      </c>
      <c r="D226" s="44" t="n">
        <v>3</v>
      </c>
      <c r="E226" s="52" t="inlineStr">
        <is>
          <t>自然教室</t>
        </is>
      </c>
      <c r="F226" s="44" t="n">
        <v>2</v>
      </c>
      <c r="G226" s="44" t="inlineStr">
        <is>
          <t>另1節在原班</t>
        </is>
      </c>
      <c r="H226" s="56">
        <f>IF(A226="","",SUMIF($A$5:$A$304,A226,$D$5:$D$304))</f>
        <v/>
      </c>
    </row>
    <row r="227" ht="15" customHeight="1" s="36">
      <c r="A227" s="44" t="inlineStr">
        <is>
          <t>自然乙</t>
        </is>
      </c>
      <c r="B227" s="52" t="inlineStr">
        <is>
          <t>自然</t>
        </is>
      </c>
      <c r="C227" s="52" t="inlineStr">
        <is>
          <t>3年10班</t>
        </is>
      </c>
      <c r="D227" s="44" t="n">
        <v>3</v>
      </c>
      <c r="E227" s="52" t="inlineStr">
        <is>
          <t>自然教室</t>
        </is>
      </c>
      <c r="F227" s="44" t="n">
        <v>2</v>
      </c>
      <c r="G227" s="44" t="inlineStr">
        <is>
          <t>另1節在原班</t>
        </is>
      </c>
      <c r="H227" s="56">
        <f>IF(A227="","",SUMIF($A$5:$A$304,A227,$D$5:$D$304))</f>
        <v/>
      </c>
    </row>
    <row r="228" ht="15" customHeight="1" s="36">
      <c r="A228" s="44" t="inlineStr">
        <is>
          <t>自然乙</t>
        </is>
      </c>
      <c r="B228" s="52" t="inlineStr">
        <is>
          <t>自然</t>
        </is>
      </c>
      <c r="C228" s="52" t="inlineStr">
        <is>
          <t>3年11班</t>
        </is>
      </c>
      <c r="D228" s="44" t="n">
        <v>3</v>
      </c>
      <c r="E228" s="52" t="inlineStr">
        <is>
          <t>自然教室</t>
        </is>
      </c>
      <c r="F228" s="44" t="n">
        <v>2</v>
      </c>
      <c r="G228" s="44" t="inlineStr">
        <is>
          <t>另1節在原班</t>
        </is>
      </c>
      <c r="H228" s="56">
        <f>IF(A228="","",SUMIF($A$5:$A$304,A228,$D$5:$D$304))</f>
        <v/>
      </c>
    </row>
    <row r="229" ht="15" customHeight="1" s="36">
      <c r="A229" s="44" t="inlineStr">
        <is>
          <t>自然乙</t>
        </is>
      </c>
      <c r="B229" s="52" t="inlineStr">
        <is>
          <t>自然</t>
        </is>
      </c>
      <c r="C229" s="52" t="inlineStr">
        <is>
          <t>3年12班</t>
        </is>
      </c>
      <c r="D229" s="44" t="n">
        <v>3</v>
      </c>
      <c r="E229" s="52" t="inlineStr">
        <is>
          <t>自然教室</t>
        </is>
      </c>
      <c r="F229" s="44" t="n">
        <v>2</v>
      </c>
      <c r="G229" s="44" t="inlineStr">
        <is>
          <t>另1節在原班</t>
        </is>
      </c>
      <c r="H229" s="56">
        <f>IF(A229="","",SUMIF($A$5:$A$304,A229,$D$5:$D$304))</f>
        <v/>
      </c>
    </row>
    <row r="230" ht="15" customHeight="1" s="36">
      <c r="A230" s="44" t="inlineStr">
        <is>
          <t>自然乙</t>
        </is>
      </c>
      <c r="B230" s="52" t="inlineStr">
        <is>
          <t>自然</t>
        </is>
      </c>
      <c r="C230" s="52" t="inlineStr">
        <is>
          <t>4年1班</t>
        </is>
      </c>
      <c r="D230" s="44" t="n">
        <v>3</v>
      </c>
      <c r="E230" s="52" t="inlineStr">
        <is>
          <t>自然教室</t>
        </is>
      </c>
      <c r="F230" s="44" t="n">
        <v>2</v>
      </c>
      <c r="G230" s="44" t="inlineStr">
        <is>
          <t>另1節在原班</t>
        </is>
      </c>
      <c r="H230" s="56">
        <f>IF(A230="","",SUMIF($A$5:$A$304,A230,$D$5:$D$304))</f>
        <v/>
      </c>
    </row>
    <row r="231" ht="15" customHeight="1" s="36">
      <c r="A231" s="44" t="inlineStr">
        <is>
          <t>自然乙</t>
        </is>
      </c>
      <c r="B231" s="52" t="inlineStr">
        <is>
          <t>自然</t>
        </is>
      </c>
      <c r="C231" s="52" t="inlineStr">
        <is>
          <t>4年2班</t>
        </is>
      </c>
      <c r="D231" s="44" t="n">
        <v>3</v>
      </c>
      <c r="E231" s="52" t="inlineStr">
        <is>
          <t>自然教室</t>
        </is>
      </c>
      <c r="F231" s="44" t="n">
        <v>2</v>
      </c>
      <c r="G231" s="44" t="inlineStr">
        <is>
          <t>另1節在原班</t>
        </is>
      </c>
      <c r="H231" s="56">
        <f>IF(A231="","",SUMIF($A$5:$A$304,A231,$D$5:$D$304))</f>
        <v/>
      </c>
    </row>
    <row r="232" ht="15" customHeight="1" s="36">
      <c r="A232" s="44" t="inlineStr">
        <is>
          <t>自然丙</t>
        </is>
      </c>
      <c r="B232" s="52" t="inlineStr">
        <is>
          <t>自然</t>
        </is>
      </c>
      <c r="C232" s="52" t="inlineStr">
        <is>
          <t>4年3班</t>
        </is>
      </c>
      <c r="D232" s="44" t="n">
        <v>3</v>
      </c>
      <c r="E232" s="52" t="inlineStr">
        <is>
          <t>自然教室</t>
        </is>
      </c>
      <c r="F232" s="44" t="n">
        <v>2</v>
      </c>
      <c r="G232" s="44" t="inlineStr">
        <is>
          <t>另1節在原班</t>
        </is>
      </c>
      <c r="H232" s="56">
        <f>IF(A232="","",SUMIF($A$5:$A$304,A232,$D$5:$D$304))</f>
        <v/>
      </c>
    </row>
    <row r="233" ht="15" customHeight="1" s="36">
      <c r="A233" s="44" t="inlineStr">
        <is>
          <t>自然丙</t>
        </is>
      </c>
      <c r="B233" s="52" t="inlineStr">
        <is>
          <t>自然</t>
        </is>
      </c>
      <c r="C233" s="52" t="inlineStr">
        <is>
          <t>4年4班</t>
        </is>
      </c>
      <c r="D233" s="44" t="n">
        <v>3</v>
      </c>
      <c r="E233" s="52" t="inlineStr">
        <is>
          <t>自然教室</t>
        </is>
      </c>
      <c r="F233" s="44" t="n">
        <v>2</v>
      </c>
      <c r="G233" s="44" t="inlineStr">
        <is>
          <t>另1節在原班</t>
        </is>
      </c>
      <c r="H233" s="56">
        <f>IF(A233="","",SUMIF($A$5:$A$304,A233,$D$5:$D$304))</f>
        <v/>
      </c>
    </row>
    <row r="234" ht="15" customHeight="1" s="36">
      <c r="A234" s="44" t="inlineStr">
        <is>
          <t>自然丙</t>
        </is>
      </c>
      <c r="B234" s="52" t="inlineStr">
        <is>
          <t>自然</t>
        </is>
      </c>
      <c r="C234" s="52" t="inlineStr">
        <is>
          <t>4年5班</t>
        </is>
      </c>
      <c r="D234" s="44" t="n">
        <v>3</v>
      </c>
      <c r="E234" s="52" t="inlineStr">
        <is>
          <t>自然教室</t>
        </is>
      </c>
      <c r="F234" s="44" t="n">
        <v>2</v>
      </c>
      <c r="G234" s="44" t="inlineStr">
        <is>
          <t>另1節在原班</t>
        </is>
      </c>
      <c r="H234" s="56">
        <f>IF(A234="","",SUMIF($A$5:$A$304,A234,$D$5:$D$304))</f>
        <v/>
      </c>
    </row>
    <row r="235" ht="15" customHeight="1" s="36">
      <c r="A235" s="44" t="inlineStr">
        <is>
          <t>自然丙</t>
        </is>
      </c>
      <c r="B235" s="52" t="inlineStr">
        <is>
          <t>自然</t>
        </is>
      </c>
      <c r="C235" s="52" t="inlineStr">
        <is>
          <t>4年6班</t>
        </is>
      </c>
      <c r="D235" s="44" t="n">
        <v>3</v>
      </c>
      <c r="E235" s="52" t="inlineStr">
        <is>
          <t>自然教室</t>
        </is>
      </c>
      <c r="F235" s="44" t="n">
        <v>2</v>
      </c>
      <c r="G235" s="44" t="inlineStr">
        <is>
          <t>另1節在原班</t>
        </is>
      </c>
      <c r="H235" s="56">
        <f>IF(A235="","",SUMIF($A$5:$A$304,A235,$D$5:$D$304))</f>
        <v/>
      </c>
    </row>
    <row r="236" ht="15" customHeight="1" s="36">
      <c r="A236" s="44" t="inlineStr">
        <is>
          <t>自然丙</t>
        </is>
      </c>
      <c r="B236" s="52" t="inlineStr">
        <is>
          <t>自然</t>
        </is>
      </c>
      <c r="C236" s="52" t="inlineStr">
        <is>
          <t>4年7班</t>
        </is>
      </c>
      <c r="D236" s="44" t="n">
        <v>3</v>
      </c>
      <c r="E236" s="52" t="inlineStr">
        <is>
          <t>自然教室</t>
        </is>
      </c>
      <c r="F236" s="44" t="n">
        <v>2</v>
      </c>
      <c r="G236" s="44" t="inlineStr">
        <is>
          <t>另1節在原班</t>
        </is>
      </c>
      <c r="H236" s="56">
        <f>IF(A236="","",SUMIF($A$5:$A$304,A236,$D$5:$D$304))</f>
        <v/>
      </c>
    </row>
    <row r="237" ht="15" customHeight="1" s="36">
      <c r="A237" s="44" t="inlineStr">
        <is>
          <t>自然丙</t>
        </is>
      </c>
      <c r="B237" s="52" t="inlineStr">
        <is>
          <t>自然</t>
        </is>
      </c>
      <c r="C237" s="52" t="inlineStr">
        <is>
          <t>4年8班</t>
        </is>
      </c>
      <c r="D237" s="44" t="n">
        <v>3</v>
      </c>
      <c r="E237" s="52" t="inlineStr">
        <is>
          <t>自然教室</t>
        </is>
      </c>
      <c r="F237" s="44" t="n">
        <v>2</v>
      </c>
      <c r="G237" s="44" t="inlineStr">
        <is>
          <t>另1節在原班</t>
        </is>
      </c>
      <c r="H237" s="56">
        <f>IF(A237="","",SUMIF($A$5:$A$304,A237,$D$5:$D$304))</f>
        <v/>
      </c>
    </row>
    <row r="238" ht="15" customHeight="1" s="36">
      <c r="A238" s="44" t="inlineStr">
        <is>
          <t>自然丙</t>
        </is>
      </c>
      <c r="B238" s="52" t="inlineStr">
        <is>
          <t>自然</t>
        </is>
      </c>
      <c r="C238" s="52" t="inlineStr">
        <is>
          <t>4年9班</t>
        </is>
      </c>
      <c r="D238" s="44" t="n">
        <v>3</v>
      </c>
      <c r="E238" s="52" t="inlineStr">
        <is>
          <t>自然教室</t>
        </is>
      </c>
      <c r="F238" s="44" t="n">
        <v>2</v>
      </c>
      <c r="G238" s="44" t="inlineStr">
        <is>
          <t>另1節在原班</t>
        </is>
      </c>
      <c r="H238" s="56">
        <f>IF(A238="","",SUMIF($A$5:$A$304,A238,$D$5:$D$304))</f>
        <v/>
      </c>
    </row>
    <row r="239" ht="15" customHeight="1" s="36">
      <c r="A239" s="44" t="inlineStr">
        <is>
          <t>自然丁</t>
        </is>
      </c>
      <c r="B239" s="52" t="inlineStr">
        <is>
          <t>自然</t>
        </is>
      </c>
      <c r="C239" s="52" t="inlineStr">
        <is>
          <t>4年10班</t>
        </is>
      </c>
      <c r="D239" s="44" t="n">
        <v>3</v>
      </c>
      <c r="E239" s="52" t="inlineStr">
        <is>
          <t>自然教室</t>
        </is>
      </c>
      <c r="F239" s="44" t="n">
        <v>2</v>
      </c>
      <c r="G239" s="44" t="inlineStr">
        <is>
          <t>另1節在原班</t>
        </is>
      </c>
      <c r="H239" s="56">
        <f>IF(A239="","",SUMIF($A$5:$A$304,A239,$D$5:$D$304))</f>
        <v/>
      </c>
    </row>
    <row r="240" ht="15" customHeight="1" s="36">
      <c r="A240" s="44" t="inlineStr">
        <is>
          <t>自然丁</t>
        </is>
      </c>
      <c r="B240" s="52" t="inlineStr">
        <is>
          <t>自然</t>
        </is>
      </c>
      <c r="C240" s="52" t="inlineStr">
        <is>
          <t>4年11班</t>
        </is>
      </c>
      <c r="D240" s="44" t="n">
        <v>3</v>
      </c>
      <c r="E240" s="52" t="inlineStr">
        <is>
          <t>自然教室</t>
        </is>
      </c>
      <c r="F240" s="44" t="n">
        <v>2</v>
      </c>
      <c r="G240" s="44" t="inlineStr">
        <is>
          <t>另1節在原班</t>
        </is>
      </c>
      <c r="H240" s="56">
        <f>IF(A240="","",SUMIF($A$5:$A$304,A240,$D$5:$D$304))</f>
        <v/>
      </c>
    </row>
    <row r="241" ht="15" customHeight="1" s="36">
      <c r="A241" s="44" t="inlineStr">
        <is>
          <t>自然丁</t>
        </is>
      </c>
      <c r="B241" s="52" t="inlineStr">
        <is>
          <t>自然</t>
        </is>
      </c>
      <c r="C241" s="52" t="inlineStr">
        <is>
          <t>4年12班</t>
        </is>
      </c>
      <c r="D241" s="44" t="n">
        <v>3</v>
      </c>
      <c r="E241" s="52" t="inlineStr">
        <is>
          <t>自然教室</t>
        </is>
      </c>
      <c r="F241" s="44" t="n">
        <v>2</v>
      </c>
      <c r="G241" s="44" t="inlineStr">
        <is>
          <t>另1節在原班</t>
        </is>
      </c>
      <c r="H241" s="56">
        <f>IF(A241="","",SUMIF($A$5:$A$304,A241,$D$5:$D$304))</f>
        <v/>
      </c>
    </row>
    <row r="242" ht="15" customHeight="1" s="36">
      <c r="A242" s="44" t="inlineStr">
        <is>
          <t>自然丁</t>
        </is>
      </c>
      <c r="B242" s="52" t="inlineStr">
        <is>
          <t>自然</t>
        </is>
      </c>
      <c r="C242" s="52" t="inlineStr">
        <is>
          <t>5年1班</t>
        </is>
      </c>
      <c r="D242" s="44" t="n">
        <v>3</v>
      </c>
      <c r="E242" s="52" t="inlineStr">
        <is>
          <t>自然教室</t>
        </is>
      </c>
      <c r="F242" s="44" t="n">
        <v>2</v>
      </c>
      <c r="G242" s="44" t="inlineStr">
        <is>
          <t>另1節在原班</t>
        </is>
      </c>
      <c r="H242" s="56">
        <f>IF(A242="","",SUMIF($A$5:$A$304,A242,$D$5:$D$304))</f>
        <v/>
      </c>
    </row>
    <row r="243" ht="15" customHeight="1" s="36">
      <c r="A243" s="44" t="inlineStr">
        <is>
          <t>自然丁</t>
        </is>
      </c>
      <c r="B243" s="52" t="inlineStr">
        <is>
          <t>自然</t>
        </is>
      </c>
      <c r="C243" s="52" t="inlineStr">
        <is>
          <t>5年2班</t>
        </is>
      </c>
      <c r="D243" s="44" t="n">
        <v>3</v>
      </c>
      <c r="E243" s="52" t="inlineStr">
        <is>
          <t>自然教室</t>
        </is>
      </c>
      <c r="F243" s="44" t="n">
        <v>2</v>
      </c>
      <c r="G243" s="44" t="inlineStr">
        <is>
          <t>另1節在原班</t>
        </is>
      </c>
      <c r="H243" s="56">
        <f>IF(A243="","",SUMIF($A$5:$A$304,A243,$D$5:$D$304))</f>
        <v/>
      </c>
    </row>
    <row r="244" ht="15" customHeight="1" s="36">
      <c r="A244" s="44" t="inlineStr">
        <is>
          <t>自然丁</t>
        </is>
      </c>
      <c r="B244" s="52" t="inlineStr">
        <is>
          <t>自然</t>
        </is>
      </c>
      <c r="C244" s="52" t="inlineStr">
        <is>
          <t>5年3班</t>
        </is>
      </c>
      <c r="D244" s="44" t="n">
        <v>3</v>
      </c>
      <c r="E244" s="52" t="inlineStr">
        <is>
          <t>自然教室</t>
        </is>
      </c>
      <c r="F244" s="44" t="n">
        <v>2</v>
      </c>
      <c r="G244" s="44" t="inlineStr">
        <is>
          <t>另1節在原班</t>
        </is>
      </c>
      <c r="H244" s="56">
        <f>IF(A244="","",SUMIF($A$5:$A$304,A244,$D$5:$D$304))</f>
        <v/>
      </c>
    </row>
    <row r="245" ht="15" customHeight="1" s="36">
      <c r="A245" s="44" t="inlineStr">
        <is>
          <t>自然丁</t>
        </is>
      </c>
      <c r="B245" s="52" t="inlineStr">
        <is>
          <t>自然</t>
        </is>
      </c>
      <c r="C245" s="52" t="inlineStr">
        <is>
          <t>5年4班</t>
        </is>
      </c>
      <c r="D245" s="44" t="n">
        <v>3</v>
      </c>
      <c r="E245" s="52" t="inlineStr">
        <is>
          <t>自然教室</t>
        </is>
      </c>
      <c r="F245" s="44" t="n">
        <v>2</v>
      </c>
      <c r="G245" s="44" t="inlineStr">
        <is>
          <t>另1節在原班</t>
        </is>
      </c>
      <c r="H245" s="56">
        <f>IF(A245="","",SUMIF($A$5:$A$304,A245,$D$5:$D$304))</f>
        <v/>
      </c>
    </row>
    <row r="246" ht="15" customHeight="1" s="36">
      <c r="A246" s="44" t="inlineStr">
        <is>
          <t>自然戊</t>
        </is>
      </c>
      <c r="B246" s="52" t="inlineStr">
        <is>
          <t>自然</t>
        </is>
      </c>
      <c r="C246" s="52" t="inlineStr">
        <is>
          <t>5年5班</t>
        </is>
      </c>
      <c r="D246" s="44" t="n">
        <v>3</v>
      </c>
      <c r="E246" s="52" t="inlineStr">
        <is>
          <t>自然教室</t>
        </is>
      </c>
      <c r="F246" s="44" t="n">
        <v>2</v>
      </c>
      <c r="G246" s="44" t="inlineStr">
        <is>
          <t>另1節在原班</t>
        </is>
      </c>
      <c r="H246" s="56">
        <f>IF(A246="","",SUMIF($A$5:$A$304,A246,$D$5:$D$304))</f>
        <v/>
      </c>
    </row>
    <row r="247" ht="15" customHeight="1" s="36">
      <c r="A247" s="44" t="inlineStr">
        <is>
          <t>自然戊</t>
        </is>
      </c>
      <c r="B247" s="52" t="inlineStr">
        <is>
          <t>自然</t>
        </is>
      </c>
      <c r="C247" s="52" t="inlineStr">
        <is>
          <t>5年6班</t>
        </is>
      </c>
      <c r="D247" s="44" t="n">
        <v>3</v>
      </c>
      <c r="E247" s="52" t="inlineStr">
        <is>
          <t>自然教室</t>
        </is>
      </c>
      <c r="F247" s="44" t="n">
        <v>2</v>
      </c>
      <c r="G247" s="44" t="inlineStr">
        <is>
          <t>另1節在原班</t>
        </is>
      </c>
      <c r="H247" s="56">
        <f>IF(A247="","",SUMIF($A$5:$A$304,A247,$D$5:$D$304))</f>
        <v/>
      </c>
    </row>
    <row r="248" ht="15" customHeight="1" s="36">
      <c r="A248" s="44" t="inlineStr">
        <is>
          <t>自然戊</t>
        </is>
      </c>
      <c r="B248" s="52" t="inlineStr">
        <is>
          <t>自然</t>
        </is>
      </c>
      <c r="C248" s="52" t="inlineStr">
        <is>
          <t>5年7班</t>
        </is>
      </c>
      <c r="D248" s="44" t="n">
        <v>3</v>
      </c>
      <c r="E248" s="52" t="inlineStr">
        <is>
          <t>自然教室</t>
        </is>
      </c>
      <c r="F248" s="44" t="n">
        <v>2</v>
      </c>
      <c r="G248" s="44" t="inlineStr">
        <is>
          <t>另1節在原班</t>
        </is>
      </c>
      <c r="H248" s="56">
        <f>IF(A248="","",SUMIF($A$5:$A$304,A248,$D$5:$D$304))</f>
        <v/>
      </c>
    </row>
    <row r="249" ht="15" customHeight="1" s="36">
      <c r="A249" s="44" t="inlineStr">
        <is>
          <t>自然戊</t>
        </is>
      </c>
      <c r="B249" s="52" t="inlineStr">
        <is>
          <t>自然</t>
        </is>
      </c>
      <c r="C249" s="52" t="inlineStr">
        <is>
          <t>5年8班</t>
        </is>
      </c>
      <c r="D249" s="44" t="n">
        <v>3</v>
      </c>
      <c r="E249" s="52" t="inlineStr">
        <is>
          <t>自然教室</t>
        </is>
      </c>
      <c r="F249" s="44" t="n">
        <v>2</v>
      </c>
      <c r="G249" s="44" t="inlineStr">
        <is>
          <t>另1節在原班</t>
        </is>
      </c>
      <c r="H249" s="56">
        <f>IF(A249="","",SUMIF($A$5:$A$304,A249,$D$5:$D$304))</f>
        <v/>
      </c>
    </row>
    <row r="250" ht="15" customHeight="1" s="36">
      <c r="A250" s="44" t="inlineStr">
        <is>
          <t>自然戊</t>
        </is>
      </c>
      <c r="B250" s="52" t="inlineStr">
        <is>
          <t>自然</t>
        </is>
      </c>
      <c r="C250" s="52" t="inlineStr">
        <is>
          <t>5年9班</t>
        </is>
      </c>
      <c r="D250" s="44" t="n">
        <v>3</v>
      </c>
      <c r="E250" s="52" t="inlineStr">
        <is>
          <t>自然教室</t>
        </is>
      </c>
      <c r="F250" s="44" t="n">
        <v>2</v>
      </c>
      <c r="G250" s="44" t="inlineStr">
        <is>
          <t>另1節在原班</t>
        </is>
      </c>
      <c r="H250" s="56">
        <f>IF(A250="","",SUMIF($A$5:$A$304,A250,$D$5:$D$304))</f>
        <v/>
      </c>
    </row>
    <row r="251" ht="15" customHeight="1" s="36">
      <c r="A251" s="44" t="inlineStr">
        <is>
          <t>自然戊</t>
        </is>
      </c>
      <c r="B251" s="52" t="inlineStr">
        <is>
          <t>自然</t>
        </is>
      </c>
      <c r="C251" s="52" t="inlineStr">
        <is>
          <t>5年10班</t>
        </is>
      </c>
      <c r="D251" s="44" t="n">
        <v>3</v>
      </c>
      <c r="E251" s="52" t="inlineStr">
        <is>
          <t>自然教室</t>
        </is>
      </c>
      <c r="F251" s="44" t="n">
        <v>2</v>
      </c>
      <c r="G251" s="44" t="inlineStr">
        <is>
          <t>另1節在原班</t>
        </is>
      </c>
      <c r="H251" s="56">
        <f>IF(A251="","",SUMIF($A$5:$A$304,A251,$D$5:$D$304))</f>
        <v/>
      </c>
    </row>
    <row r="252" ht="15" customHeight="1" s="36">
      <c r="A252" s="44" t="inlineStr">
        <is>
          <t>自然戊</t>
        </is>
      </c>
      <c r="B252" s="52" t="inlineStr">
        <is>
          <t>自然</t>
        </is>
      </c>
      <c r="C252" s="52" t="inlineStr">
        <is>
          <t>5年11班</t>
        </is>
      </c>
      <c r="D252" s="44" t="n">
        <v>3</v>
      </c>
      <c r="E252" s="52" t="inlineStr">
        <is>
          <t>自然教室</t>
        </is>
      </c>
      <c r="F252" s="44" t="n">
        <v>2</v>
      </c>
      <c r="G252" s="44" t="inlineStr">
        <is>
          <t>另1節在原班</t>
        </is>
      </c>
      <c r="H252" s="56">
        <f>IF(A252="","",SUMIF($A$5:$A$304,A252,$D$5:$D$304))</f>
        <v/>
      </c>
    </row>
    <row r="253" ht="15" customHeight="1" s="36">
      <c r="A253" s="44" t="inlineStr">
        <is>
          <t>自然己</t>
        </is>
      </c>
      <c r="B253" s="52" t="inlineStr">
        <is>
          <t>自然</t>
        </is>
      </c>
      <c r="C253" s="52" t="inlineStr">
        <is>
          <t>5年12班</t>
        </is>
      </c>
      <c r="D253" s="44" t="n">
        <v>3</v>
      </c>
      <c r="E253" s="52" t="inlineStr">
        <is>
          <t>自然教室</t>
        </is>
      </c>
      <c r="F253" s="44" t="n">
        <v>2</v>
      </c>
      <c r="G253" s="44" t="inlineStr">
        <is>
          <t>另1節在原班</t>
        </is>
      </c>
      <c r="H253" s="56">
        <f>IF(A253="","",SUMIF($A$5:$A$304,A253,$D$5:$D$304))</f>
        <v/>
      </c>
    </row>
    <row r="254" ht="15" customHeight="1" s="36">
      <c r="A254" s="44" t="inlineStr">
        <is>
          <t>自然己</t>
        </is>
      </c>
      <c r="B254" s="52" t="inlineStr">
        <is>
          <t>自然</t>
        </is>
      </c>
      <c r="C254" s="52" t="inlineStr">
        <is>
          <t>6年1班</t>
        </is>
      </c>
      <c r="D254" s="44" t="n">
        <v>3</v>
      </c>
      <c r="E254" s="52" t="inlineStr">
        <is>
          <t>自然教室</t>
        </is>
      </c>
      <c r="F254" s="44" t="n">
        <v>2</v>
      </c>
      <c r="G254" s="44" t="inlineStr">
        <is>
          <t>另1節在原班</t>
        </is>
      </c>
      <c r="H254" s="56">
        <f>IF(A254="","",SUMIF($A$5:$A$304,A254,$D$5:$D$304))</f>
        <v/>
      </c>
    </row>
    <row r="255" ht="15" customHeight="1" s="36">
      <c r="A255" s="44" t="inlineStr">
        <is>
          <t>自然己</t>
        </is>
      </c>
      <c r="B255" s="52" t="inlineStr">
        <is>
          <t>自然</t>
        </is>
      </c>
      <c r="C255" s="52" t="inlineStr">
        <is>
          <t>6年2班</t>
        </is>
      </c>
      <c r="D255" s="44" t="n">
        <v>3</v>
      </c>
      <c r="E255" s="52" t="inlineStr">
        <is>
          <t>自然教室</t>
        </is>
      </c>
      <c r="F255" s="44" t="n">
        <v>2</v>
      </c>
      <c r="G255" s="44" t="inlineStr">
        <is>
          <t>另1節在原班</t>
        </is>
      </c>
      <c r="H255" s="56">
        <f>IF(A255="","",SUMIF($A$5:$A$304,A255,$D$5:$D$304))</f>
        <v/>
      </c>
    </row>
    <row r="256" ht="15" customHeight="1" s="36">
      <c r="A256" s="44" t="inlineStr">
        <is>
          <t>自然己</t>
        </is>
      </c>
      <c r="B256" s="52" t="inlineStr">
        <is>
          <t>自然</t>
        </is>
      </c>
      <c r="C256" s="52" t="inlineStr">
        <is>
          <t>6年3班</t>
        </is>
      </c>
      <c r="D256" s="44" t="n">
        <v>3</v>
      </c>
      <c r="E256" s="52" t="inlineStr">
        <is>
          <t>自然教室</t>
        </is>
      </c>
      <c r="F256" s="44" t="n">
        <v>2</v>
      </c>
      <c r="G256" s="44" t="inlineStr">
        <is>
          <t>另1節在原班</t>
        </is>
      </c>
      <c r="H256" s="56">
        <f>IF(A256="","",SUMIF($A$5:$A$304,A256,$D$5:$D$304))</f>
        <v/>
      </c>
    </row>
    <row r="257" ht="15" customHeight="1" s="36">
      <c r="A257" s="44" t="inlineStr">
        <is>
          <t>自然己</t>
        </is>
      </c>
      <c r="B257" s="52" t="inlineStr">
        <is>
          <t>自然</t>
        </is>
      </c>
      <c r="C257" s="52" t="inlineStr">
        <is>
          <t>6年4班</t>
        </is>
      </c>
      <c r="D257" s="44" t="n">
        <v>3</v>
      </c>
      <c r="E257" s="52" t="inlineStr">
        <is>
          <t>自然教室</t>
        </is>
      </c>
      <c r="F257" s="44" t="n">
        <v>2</v>
      </c>
      <c r="G257" s="44" t="inlineStr">
        <is>
          <t>另1節在原班</t>
        </is>
      </c>
      <c r="H257" s="56">
        <f>IF(A257="","",SUMIF($A$5:$A$304,A257,$D$5:$D$304))</f>
        <v/>
      </c>
    </row>
    <row r="258" ht="15" customHeight="1" s="36">
      <c r="A258" s="44" t="inlineStr">
        <is>
          <t>自然己</t>
        </is>
      </c>
      <c r="B258" s="52" t="inlineStr">
        <is>
          <t>自然</t>
        </is>
      </c>
      <c r="C258" s="52" t="inlineStr">
        <is>
          <t>6年5班</t>
        </is>
      </c>
      <c r="D258" s="44" t="n">
        <v>3</v>
      </c>
      <c r="E258" s="52" t="inlineStr">
        <is>
          <t>自然教室</t>
        </is>
      </c>
      <c r="F258" s="44" t="n">
        <v>2</v>
      </c>
      <c r="G258" s="44" t="inlineStr">
        <is>
          <t>另1節在原班</t>
        </is>
      </c>
      <c r="H258" s="56">
        <f>IF(A258="","",SUMIF($A$5:$A$304,A258,$D$5:$D$304))</f>
        <v/>
      </c>
    </row>
    <row r="259" ht="15" customHeight="1" s="36">
      <c r="A259" s="44" t="inlineStr">
        <is>
          <t>自然己</t>
        </is>
      </c>
      <c r="B259" s="52" t="inlineStr">
        <is>
          <t>自然</t>
        </is>
      </c>
      <c r="C259" s="52" t="inlineStr">
        <is>
          <t>6年6班</t>
        </is>
      </c>
      <c r="D259" s="44" t="n">
        <v>3</v>
      </c>
      <c r="E259" s="52" t="inlineStr">
        <is>
          <t>自然教室</t>
        </is>
      </c>
      <c r="F259" s="44" t="n">
        <v>2</v>
      </c>
      <c r="G259" s="44" t="inlineStr">
        <is>
          <t>另1節在原班</t>
        </is>
      </c>
      <c r="H259" s="56">
        <f>IF(A259="","",SUMIF($A$5:$A$304,A259,$D$5:$D$304))</f>
        <v/>
      </c>
    </row>
    <row r="260" ht="15" customHeight="1" s="36">
      <c r="A260" s="44" t="inlineStr">
        <is>
          <t>自然庚</t>
        </is>
      </c>
      <c r="B260" s="52" t="inlineStr">
        <is>
          <t>自然</t>
        </is>
      </c>
      <c r="C260" s="52" t="inlineStr">
        <is>
          <t>6年7班</t>
        </is>
      </c>
      <c r="D260" s="44" t="n">
        <v>3</v>
      </c>
      <c r="E260" s="52" t="inlineStr">
        <is>
          <t>自然教室</t>
        </is>
      </c>
      <c r="F260" s="44" t="n">
        <v>2</v>
      </c>
      <c r="G260" s="44" t="inlineStr">
        <is>
          <t>另1節在原班</t>
        </is>
      </c>
      <c r="H260" s="56">
        <f>IF(A260="","",SUMIF($A$5:$A$304,A260,$D$5:$D$304))</f>
        <v/>
      </c>
    </row>
    <row r="261" ht="15" customHeight="1" s="36">
      <c r="A261" s="44" t="inlineStr">
        <is>
          <t>自然庚</t>
        </is>
      </c>
      <c r="B261" s="52" t="inlineStr">
        <is>
          <t>自然</t>
        </is>
      </c>
      <c r="C261" s="52" t="inlineStr">
        <is>
          <t>6年8班</t>
        </is>
      </c>
      <c r="D261" s="44" t="n">
        <v>3</v>
      </c>
      <c r="E261" s="52" t="inlineStr">
        <is>
          <t>自然教室</t>
        </is>
      </c>
      <c r="F261" s="44" t="n">
        <v>2</v>
      </c>
      <c r="G261" s="44" t="inlineStr">
        <is>
          <t>另1節在原班</t>
        </is>
      </c>
      <c r="H261" s="56">
        <f>IF(A261="","",SUMIF($A$5:$A$304,A261,$D$5:$D$304))</f>
        <v/>
      </c>
    </row>
    <row r="262" ht="15" customHeight="1" s="36">
      <c r="A262" s="44" t="inlineStr">
        <is>
          <t>自然庚</t>
        </is>
      </c>
      <c r="B262" s="52" t="inlineStr">
        <is>
          <t>自然</t>
        </is>
      </c>
      <c r="C262" s="52" t="inlineStr">
        <is>
          <t>6年9班</t>
        </is>
      </c>
      <c r="D262" s="44" t="n">
        <v>3</v>
      </c>
      <c r="E262" s="52" t="inlineStr">
        <is>
          <t>自然教室</t>
        </is>
      </c>
      <c r="F262" s="44" t="n">
        <v>2</v>
      </c>
      <c r="G262" s="44" t="inlineStr">
        <is>
          <t>另1節在原班</t>
        </is>
      </c>
      <c r="H262" s="56">
        <f>IF(A262="","",SUMIF($A$5:$A$304,A262,$D$5:$D$304))</f>
        <v/>
      </c>
    </row>
    <row r="263" ht="15" customHeight="1" s="36">
      <c r="A263" s="44" t="inlineStr">
        <is>
          <t>自然庚</t>
        </is>
      </c>
      <c r="B263" s="52" t="inlineStr">
        <is>
          <t>自然</t>
        </is>
      </c>
      <c r="C263" s="52" t="inlineStr">
        <is>
          <t>6年10班</t>
        </is>
      </c>
      <c r="D263" s="44" t="n">
        <v>3</v>
      </c>
      <c r="E263" s="52" t="inlineStr">
        <is>
          <t>自然教室</t>
        </is>
      </c>
      <c r="F263" s="44" t="n">
        <v>2</v>
      </c>
      <c r="G263" s="44" t="inlineStr">
        <is>
          <t>另1節在原班</t>
        </is>
      </c>
      <c r="H263" s="56">
        <f>IF(A263="","",SUMIF($A$5:$A$304,A263,$D$5:$D$304))</f>
        <v/>
      </c>
    </row>
    <row r="264" ht="15" customHeight="1" s="36">
      <c r="A264" s="44" t="inlineStr">
        <is>
          <t>自然庚</t>
        </is>
      </c>
      <c r="B264" s="52" t="inlineStr">
        <is>
          <t>自然</t>
        </is>
      </c>
      <c r="C264" s="52" t="inlineStr">
        <is>
          <t>6年11班</t>
        </is>
      </c>
      <c r="D264" s="44" t="n">
        <v>3</v>
      </c>
      <c r="E264" s="52" t="inlineStr">
        <is>
          <t>自然教室</t>
        </is>
      </c>
      <c r="F264" s="44" t="n">
        <v>2</v>
      </c>
      <c r="G264" s="44" t="inlineStr">
        <is>
          <t>另1節在原班</t>
        </is>
      </c>
      <c r="H264" s="56">
        <f>IF(A264="","",SUMIF($A$5:$A$304,A264,$D$5:$D$304))</f>
        <v/>
      </c>
    </row>
    <row r="265" ht="15" customHeight="1" s="36">
      <c r="A265" s="44" t="inlineStr">
        <is>
          <t>自然庚</t>
        </is>
      </c>
      <c r="B265" s="52" t="inlineStr">
        <is>
          <t>自然</t>
        </is>
      </c>
      <c r="C265" s="52" t="inlineStr">
        <is>
          <t>6年12班</t>
        </is>
      </c>
      <c r="D265" s="44" t="n">
        <v>3</v>
      </c>
      <c r="E265" s="52" t="inlineStr">
        <is>
          <t>自然教室</t>
        </is>
      </c>
      <c r="F265" s="44" t="n">
        <v>2</v>
      </c>
      <c r="G265" s="44" t="inlineStr">
        <is>
          <t>另1節在原班</t>
        </is>
      </c>
      <c r="H265" s="56">
        <f>IF(A265="","",SUMIF($A$5:$A$304,A265,$D$5:$D$304))</f>
        <v/>
      </c>
    </row>
    <row r="266" ht="15" customHeight="1" s="36">
      <c r="A266" s="44" t="inlineStr">
        <is>
          <t>資訊甲</t>
        </is>
      </c>
      <c r="B266" s="52" t="inlineStr">
        <is>
          <t>資訊</t>
        </is>
      </c>
      <c r="C266" s="52" t="inlineStr">
        <is>
          <t>3年1班</t>
        </is>
      </c>
      <c r="D266" s="44" t="n">
        <v>1</v>
      </c>
      <c r="E266" s="52" t="inlineStr">
        <is>
          <t>電腦教室</t>
        </is>
      </c>
      <c r="F266" s="44" t="n"/>
      <c r="G266" s="44" t="n"/>
      <c r="H266" s="56">
        <f>IF(A266="","",SUMIF($A$5:$A$304,A266,$D$5:$D$304))</f>
        <v/>
      </c>
    </row>
    <row r="267" ht="15" customHeight="1" s="36">
      <c r="A267" s="44" t="inlineStr">
        <is>
          <t>資訊甲</t>
        </is>
      </c>
      <c r="B267" s="52" t="inlineStr">
        <is>
          <t>資訊</t>
        </is>
      </c>
      <c r="C267" s="52" t="inlineStr">
        <is>
          <t>3年2班</t>
        </is>
      </c>
      <c r="D267" s="44" t="n">
        <v>1</v>
      </c>
      <c r="E267" s="52" t="inlineStr">
        <is>
          <t>電腦教室</t>
        </is>
      </c>
      <c r="F267" s="44" t="n"/>
      <c r="G267" s="44" t="n"/>
      <c r="H267" s="56">
        <f>IF(A267="","",SUMIF($A$5:$A$304,A267,$D$5:$D$304))</f>
        <v/>
      </c>
    </row>
    <row r="268" ht="15" customHeight="1" s="36">
      <c r="A268" s="44" t="inlineStr">
        <is>
          <t>資訊甲</t>
        </is>
      </c>
      <c r="B268" s="52" t="inlineStr">
        <is>
          <t>資訊</t>
        </is>
      </c>
      <c r="C268" s="52" t="inlineStr">
        <is>
          <t>3年3班</t>
        </is>
      </c>
      <c r="D268" s="44" t="n">
        <v>1</v>
      </c>
      <c r="E268" s="52" t="inlineStr">
        <is>
          <t>電腦教室</t>
        </is>
      </c>
      <c r="F268" s="44" t="n"/>
      <c r="G268" s="44" t="n"/>
      <c r="H268" s="56">
        <f>IF(A268="","",SUMIF($A$5:$A$304,A268,$D$5:$D$304))</f>
        <v/>
      </c>
    </row>
    <row r="269" ht="15" customHeight="1" s="36">
      <c r="A269" s="44" t="inlineStr">
        <is>
          <t>資訊甲</t>
        </is>
      </c>
      <c r="B269" s="52" t="inlineStr">
        <is>
          <t>資訊</t>
        </is>
      </c>
      <c r="C269" s="52" t="inlineStr">
        <is>
          <t>3年4班</t>
        </is>
      </c>
      <c r="D269" s="44" t="n">
        <v>1</v>
      </c>
      <c r="E269" s="52" t="inlineStr">
        <is>
          <t>電腦教室</t>
        </is>
      </c>
      <c r="F269" s="44" t="n"/>
      <c r="G269" s="44" t="n"/>
      <c r="H269" s="56">
        <f>IF(A269="","",SUMIF($A$5:$A$304,A269,$D$5:$D$304))</f>
        <v/>
      </c>
    </row>
    <row r="270" ht="15" customHeight="1" s="36">
      <c r="A270" s="44" t="inlineStr">
        <is>
          <t>資訊甲</t>
        </is>
      </c>
      <c r="B270" s="52" t="inlineStr">
        <is>
          <t>資訊</t>
        </is>
      </c>
      <c r="C270" s="52" t="inlineStr">
        <is>
          <t>3年5班</t>
        </is>
      </c>
      <c r="D270" s="44" t="n">
        <v>1</v>
      </c>
      <c r="E270" s="52" t="inlineStr">
        <is>
          <t>電腦教室</t>
        </is>
      </c>
      <c r="F270" s="44" t="n"/>
      <c r="G270" s="44" t="n"/>
      <c r="H270" s="56">
        <f>IF(A270="","",SUMIF($A$5:$A$304,A270,$D$5:$D$304))</f>
        <v/>
      </c>
    </row>
    <row r="271" ht="15" customHeight="1" s="36">
      <c r="A271" s="44" t="inlineStr">
        <is>
          <t>資訊甲</t>
        </is>
      </c>
      <c r="B271" s="52" t="inlineStr">
        <is>
          <t>資訊</t>
        </is>
      </c>
      <c r="C271" s="52" t="inlineStr">
        <is>
          <t>3年6班</t>
        </is>
      </c>
      <c r="D271" s="44" t="n">
        <v>1</v>
      </c>
      <c r="E271" s="52" t="inlineStr">
        <is>
          <t>電腦教室</t>
        </is>
      </c>
      <c r="F271" s="44" t="n"/>
      <c r="G271" s="44" t="n"/>
      <c r="H271" s="56">
        <f>IF(A271="","",SUMIF($A$5:$A$304,A271,$D$5:$D$304))</f>
        <v/>
      </c>
    </row>
    <row r="272" ht="15" customHeight="1" s="36">
      <c r="A272" s="44" t="inlineStr">
        <is>
          <t>資訊甲</t>
        </is>
      </c>
      <c r="B272" s="52" t="inlineStr">
        <is>
          <t>資訊</t>
        </is>
      </c>
      <c r="C272" s="52" t="inlineStr">
        <is>
          <t>3年7班</t>
        </is>
      </c>
      <c r="D272" s="44" t="n">
        <v>1</v>
      </c>
      <c r="E272" s="52" t="inlineStr">
        <is>
          <t>電腦教室</t>
        </is>
      </c>
      <c r="F272" s="44" t="n"/>
      <c r="G272" s="44" t="n"/>
      <c r="H272" s="56">
        <f>IF(A272="","",SUMIF($A$5:$A$304,A272,$D$5:$D$304))</f>
        <v/>
      </c>
    </row>
    <row r="273" ht="15" customHeight="1" s="36">
      <c r="A273" s="44" t="inlineStr">
        <is>
          <t>資訊甲</t>
        </is>
      </c>
      <c r="B273" s="52" t="inlineStr">
        <is>
          <t>資訊</t>
        </is>
      </c>
      <c r="C273" s="52" t="inlineStr">
        <is>
          <t>3年8班</t>
        </is>
      </c>
      <c r="D273" s="44" t="n">
        <v>1</v>
      </c>
      <c r="E273" s="52" t="inlineStr">
        <is>
          <t>電腦教室</t>
        </is>
      </c>
      <c r="F273" s="44" t="n"/>
      <c r="G273" s="44" t="n"/>
      <c r="H273" s="56">
        <f>IF(A273="","",SUMIF($A$5:$A$304,A273,$D$5:$D$304))</f>
        <v/>
      </c>
    </row>
    <row r="274" ht="15" customHeight="1" s="36">
      <c r="A274" s="44" t="inlineStr">
        <is>
          <t>資訊甲</t>
        </is>
      </c>
      <c r="B274" s="52" t="inlineStr">
        <is>
          <t>資訊</t>
        </is>
      </c>
      <c r="C274" s="52" t="inlineStr">
        <is>
          <t>3年9班</t>
        </is>
      </c>
      <c r="D274" s="44" t="n">
        <v>1</v>
      </c>
      <c r="E274" s="52" t="inlineStr">
        <is>
          <t>電腦教室</t>
        </is>
      </c>
      <c r="F274" s="44" t="n"/>
      <c r="G274" s="44" t="n"/>
      <c r="H274" s="56">
        <f>IF(A274="","",SUMIF($A$5:$A$304,A274,$D$5:$D$304))</f>
        <v/>
      </c>
    </row>
    <row r="275" ht="15" customHeight="1" s="36">
      <c r="A275" s="44" t="inlineStr">
        <is>
          <t>資訊甲</t>
        </is>
      </c>
      <c r="B275" s="52" t="inlineStr">
        <is>
          <t>資訊</t>
        </is>
      </c>
      <c r="C275" s="52" t="inlineStr">
        <is>
          <t>3年10班</t>
        </is>
      </c>
      <c r="D275" s="44" t="n">
        <v>1</v>
      </c>
      <c r="E275" s="52" t="inlineStr">
        <is>
          <t>電腦教室</t>
        </is>
      </c>
      <c r="F275" s="44" t="n"/>
      <c r="G275" s="44" t="n"/>
      <c r="H275" s="56">
        <f>IF(A275="","",SUMIF($A$5:$A$304,A275,$D$5:$D$304))</f>
        <v/>
      </c>
    </row>
    <row r="276" ht="15" customHeight="1" s="36">
      <c r="A276" s="44" t="inlineStr">
        <is>
          <t>資訊甲</t>
        </is>
      </c>
      <c r="B276" s="52" t="inlineStr">
        <is>
          <t>資訊</t>
        </is>
      </c>
      <c r="C276" s="52" t="inlineStr">
        <is>
          <t>3年11班</t>
        </is>
      </c>
      <c r="D276" s="44" t="n">
        <v>1</v>
      </c>
      <c r="E276" s="52" t="inlineStr">
        <is>
          <t>電腦教室</t>
        </is>
      </c>
      <c r="F276" s="44" t="n"/>
      <c r="G276" s="44" t="n"/>
      <c r="H276" s="56">
        <f>IF(A276="","",SUMIF($A$5:$A$304,A276,$D$5:$D$304))</f>
        <v/>
      </c>
    </row>
    <row r="277" ht="15" customHeight="1" s="36">
      <c r="A277" s="44" t="inlineStr">
        <is>
          <t>資訊甲</t>
        </is>
      </c>
      <c r="B277" s="52" t="inlineStr">
        <is>
          <t>資訊</t>
        </is>
      </c>
      <c r="C277" s="52" t="inlineStr">
        <is>
          <t>3年12班</t>
        </is>
      </c>
      <c r="D277" s="44" t="n">
        <v>1</v>
      </c>
      <c r="E277" s="52" t="inlineStr">
        <is>
          <t>電腦教室</t>
        </is>
      </c>
      <c r="F277" s="44" t="n"/>
      <c r="G277" s="44" t="n"/>
      <c r="H277" s="56">
        <f>IF(A277="","",SUMIF($A$5:$A$304,A277,$D$5:$D$304))</f>
        <v/>
      </c>
    </row>
    <row r="278" ht="15" customHeight="1" s="36">
      <c r="A278" s="44" t="inlineStr">
        <is>
          <t>資訊甲</t>
        </is>
      </c>
      <c r="B278" s="52" t="inlineStr">
        <is>
          <t>資訊</t>
        </is>
      </c>
      <c r="C278" s="52" t="inlineStr">
        <is>
          <t>4年1班</t>
        </is>
      </c>
      <c r="D278" s="44" t="n">
        <v>1</v>
      </c>
      <c r="E278" s="52" t="inlineStr">
        <is>
          <t>電腦教室</t>
        </is>
      </c>
      <c r="F278" s="44" t="n"/>
      <c r="G278" s="44" t="n"/>
      <c r="H278" s="56">
        <f>IF(A278="","",SUMIF($A$5:$A$304,A278,$D$5:$D$304))</f>
        <v/>
      </c>
    </row>
    <row r="279" ht="15" customHeight="1" s="36">
      <c r="A279" s="44" t="inlineStr">
        <is>
          <t>資訊甲</t>
        </is>
      </c>
      <c r="B279" s="52" t="inlineStr">
        <is>
          <t>資訊</t>
        </is>
      </c>
      <c r="C279" s="52" t="inlineStr">
        <is>
          <t>4年2班</t>
        </is>
      </c>
      <c r="D279" s="44" t="n">
        <v>1</v>
      </c>
      <c r="E279" s="52" t="inlineStr">
        <is>
          <t>電腦教室</t>
        </is>
      </c>
      <c r="F279" s="44" t="n"/>
      <c r="G279" s="44" t="n"/>
      <c r="H279" s="56">
        <f>IF(A279="","",SUMIF($A$5:$A$304,A279,$D$5:$D$304))</f>
        <v/>
      </c>
    </row>
    <row r="280" ht="15" customHeight="1" s="36">
      <c r="A280" s="44" t="inlineStr">
        <is>
          <t>資訊甲</t>
        </is>
      </c>
      <c r="B280" s="52" t="inlineStr">
        <is>
          <t>資訊</t>
        </is>
      </c>
      <c r="C280" s="52" t="inlineStr">
        <is>
          <t>4年3班</t>
        </is>
      </c>
      <c r="D280" s="44" t="n">
        <v>1</v>
      </c>
      <c r="E280" s="52" t="inlineStr">
        <is>
          <t>電腦教室</t>
        </is>
      </c>
      <c r="F280" s="44" t="n"/>
      <c r="G280" s="44" t="n"/>
      <c r="H280" s="56">
        <f>IF(A280="","",SUMIF($A$5:$A$304,A280,$D$5:$D$304))</f>
        <v/>
      </c>
    </row>
    <row r="281" ht="15" customHeight="1" s="36">
      <c r="A281" s="44" t="inlineStr">
        <is>
          <t>資訊甲</t>
        </is>
      </c>
      <c r="B281" s="52" t="inlineStr">
        <is>
          <t>資訊</t>
        </is>
      </c>
      <c r="C281" s="52" t="inlineStr">
        <is>
          <t>4年4班</t>
        </is>
      </c>
      <c r="D281" s="44" t="n">
        <v>1</v>
      </c>
      <c r="E281" s="52" t="inlineStr">
        <is>
          <t>電腦教室</t>
        </is>
      </c>
      <c r="F281" s="44" t="n"/>
      <c r="G281" s="44" t="n"/>
      <c r="H281" s="56">
        <f>IF(A281="","",SUMIF($A$5:$A$304,A281,$D$5:$D$304))</f>
        <v/>
      </c>
    </row>
    <row r="282" ht="15" customHeight="1" s="36">
      <c r="A282" s="44" t="inlineStr">
        <is>
          <t>資訊甲</t>
        </is>
      </c>
      <c r="B282" s="52" t="inlineStr">
        <is>
          <t>資訊</t>
        </is>
      </c>
      <c r="C282" s="52" t="inlineStr">
        <is>
          <t>4年5班</t>
        </is>
      </c>
      <c r="D282" s="44" t="n">
        <v>1</v>
      </c>
      <c r="E282" s="52" t="inlineStr">
        <is>
          <t>電腦教室</t>
        </is>
      </c>
      <c r="F282" s="44" t="n"/>
      <c r="G282" s="44" t="n"/>
      <c r="H282" s="56">
        <f>IF(A282="","",SUMIF($A$5:$A$304,A282,$D$5:$D$304))</f>
        <v/>
      </c>
    </row>
    <row r="283" ht="15" customHeight="1" s="36">
      <c r="A283" s="44" t="inlineStr">
        <is>
          <t>資訊甲</t>
        </is>
      </c>
      <c r="B283" s="52" t="inlineStr">
        <is>
          <t>資訊</t>
        </is>
      </c>
      <c r="C283" s="52" t="inlineStr">
        <is>
          <t>4年6班</t>
        </is>
      </c>
      <c r="D283" s="44" t="n">
        <v>1</v>
      </c>
      <c r="E283" s="52" t="inlineStr">
        <is>
          <t>電腦教室</t>
        </is>
      </c>
      <c r="F283" s="44" t="n"/>
      <c r="G283" s="44" t="n"/>
      <c r="H283" s="56">
        <f>IF(A283="","",SUMIF($A$5:$A$304,A283,$D$5:$D$304))</f>
        <v/>
      </c>
    </row>
    <row r="284" ht="15" customHeight="1" s="36">
      <c r="A284" s="44" t="inlineStr">
        <is>
          <t>資訊甲</t>
        </is>
      </c>
      <c r="B284" s="52" t="inlineStr">
        <is>
          <t>資訊</t>
        </is>
      </c>
      <c r="C284" s="52" t="inlineStr">
        <is>
          <t>4年7班</t>
        </is>
      </c>
      <c r="D284" s="44" t="n">
        <v>1</v>
      </c>
      <c r="E284" s="52" t="inlineStr">
        <is>
          <t>電腦教室</t>
        </is>
      </c>
      <c r="F284" s="44" t="n"/>
      <c r="G284" s="44" t="n"/>
      <c r="H284" s="56">
        <f>IF(A284="","",SUMIF($A$5:$A$304,A284,$D$5:$D$304))</f>
        <v/>
      </c>
    </row>
    <row r="285" ht="15" customHeight="1" s="36">
      <c r="A285" s="44" t="inlineStr">
        <is>
          <t>資訊甲</t>
        </is>
      </c>
      <c r="B285" s="52" t="inlineStr">
        <is>
          <t>資訊</t>
        </is>
      </c>
      <c r="C285" s="52" t="inlineStr">
        <is>
          <t>4年8班</t>
        </is>
      </c>
      <c r="D285" s="44" t="n">
        <v>1</v>
      </c>
      <c r="E285" s="52" t="inlineStr">
        <is>
          <t>電腦教室</t>
        </is>
      </c>
      <c r="F285" s="44" t="n"/>
      <c r="G285" s="44" t="n"/>
      <c r="H285" s="56">
        <f>IF(A285="","",SUMIF($A$5:$A$304,A285,$D$5:$D$304))</f>
        <v/>
      </c>
    </row>
    <row r="286" ht="15" customHeight="1" s="36">
      <c r="A286" s="44" t="inlineStr">
        <is>
          <t>資訊甲</t>
        </is>
      </c>
      <c r="B286" s="52" t="inlineStr">
        <is>
          <t>資訊</t>
        </is>
      </c>
      <c r="C286" s="52" t="inlineStr">
        <is>
          <t>4年9班</t>
        </is>
      </c>
      <c r="D286" s="44" t="n">
        <v>1</v>
      </c>
      <c r="E286" s="52" t="inlineStr">
        <is>
          <t>電腦教室</t>
        </is>
      </c>
      <c r="F286" s="44" t="n"/>
      <c r="G286" s="44" t="n"/>
      <c r="H286" s="56">
        <f>IF(A286="","",SUMIF($A$5:$A$304,A286,$D$5:$D$304))</f>
        <v/>
      </c>
    </row>
    <row r="287" ht="15" customHeight="1" s="36">
      <c r="A287" s="44" t="inlineStr">
        <is>
          <t>資訊甲</t>
        </is>
      </c>
      <c r="B287" s="52" t="inlineStr">
        <is>
          <t>資訊</t>
        </is>
      </c>
      <c r="C287" s="52" t="inlineStr">
        <is>
          <t>4年10班</t>
        </is>
      </c>
      <c r="D287" s="44" t="n">
        <v>1</v>
      </c>
      <c r="E287" s="52" t="inlineStr">
        <is>
          <t>電腦教室</t>
        </is>
      </c>
      <c r="F287" s="44" t="n"/>
      <c r="G287" s="44" t="n"/>
      <c r="H287" s="56">
        <f>IF(A287="","",SUMIF($A$5:$A$304,A287,$D$5:$D$304))</f>
        <v/>
      </c>
    </row>
    <row r="288" ht="15" customHeight="1" s="36">
      <c r="A288" s="44" t="inlineStr">
        <is>
          <t>資訊甲</t>
        </is>
      </c>
      <c r="B288" s="52" t="inlineStr">
        <is>
          <t>資訊</t>
        </is>
      </c>
      <c r="C288" s="52" t="inlineStr">
        <is>
          <t>4年11班</t>
        </is>
      </c>
      <c r="D288" s="44" t="n">
        <v>1</v>
      </c>
      <c r="E288" s="52" t="inlineStr">
        <is>
          <t>電腦教室</t>
        </is>
      </c>
      <c r="F288" s="44" t="n"/>
      <c r="G288" s="44" t="n"/>
      <c r="H288" s="56">
        <f>IF(A288="","",SUMIF($A$5:$A$304,A288,$D$5:$D$304))</f>
        <v/>
      </c>
    </row>
    <row r="289" ht="15" customHeight="1" s="36">
      <c r="A289" s="44" t="inlineStr">
        <is>
          <t>資訊甲</t>
        </is>
      </c>
      <c r="B289" s="52" t="inlineStr">
        <is>
          <t>資訊</t>
        </is>
      </c>
      <c r="C289" s="52" t="inlineStr">
        <is>
          <t>4年12班</t>
        </is>
      </c>
      <c r="D289" s="44" t="n">
        <v>1</v>
      </c>
      <c r="E289" s="52" t="inlineStr">
        <is>
          <t>電腦教室</t>
        </is>
      </c>
      <c r="F289" s="44" t="n"/>
      <c r="G289" s="44" t="n"/>
      <c r="H289" s="56">
        <f>IF(A289="","",SUMIF($A$5:$A$304,A289,$D$5:$D$304))</f>
        <v/>
      </c>
    </row>
    <row r="290" ht="15" customHeight="1" s="36">
      <c r="A290" s="44" t="inlineStr">
        <is>
          <t>資訊乙</t>
        </is>
      </c>
      <c r="B290" s="52" t="inlineStr">
        <is>
          <t>資訊</t>
        </is>
      </c>
      <c r="C290" s="52" t="inlineStr">
        <is>
          <t>5年1班</t>
        </is>
      </c>
      <c r="D290" s="44" t="n">
        <v>1</v>
      </c>
      <c r="E290" s="52" t="inlineStr">
        <is>
          <t>電腦教室</t>
        </is>
      </c>
      <c r="F290" s="44" t="n"/>
      <c r="G290" s="44" t="n"/>
      <c r="H290" s="56">
        <f>IF(A290="","",SUMIF($A$5:$A$304,A290,$D$5:$D$304))</f>
        <v/>
      </c>
    </row>
    <row r="291" ht="15" customHeight="1" s="36">
      <c r="A291" s="44" t="inlineStr">
        <is>
          <t>資訊乙</t>
        </is>
      </c>
      <c r="B291" s="52" t="inlineStr">
        <is>
          <t>資訊</t>
        </is>
      </c>
      <c r="C291" s="52" t="inlineStr">
        <is>
          <t>5年2班</t>
        </is>
      </c>
      <c r="D291" s="44" t="n">
        <v>1</v>
      </c>
      <c r="E291" s="52" t="inlineStr">
        <is>
          <t>電腦教室</t>
        </is>
      </c>
      <c r="F291" s="44" t="n"/>
      <c r="G291" s="44" t="n"/>
      <c r="H291" s="56">
        <f>IF(A291="","",SUMIF($A$5:$A$304,A291,$D$5:$D$304))</f>
        <v/>
      </c>
    </row>
    <row r="292" ht="15" customHeight="1" s="36">
      <c r="A292" s="44" t="inlineStr">
        <is>
          <t>資訊乙</t>
        </is>
      </c>
      <c r="B292" s="52" t="inlineStr">
        <is>
          <t>資訊</t>
        </is>
      </c>
      <c r="C292" s="52" t="inlineStr">
        <is>
          <t>5年3班</t>
        </is>
      </c>
      <c r="D292" s="44" t="n">
        <v>1</v>
      </c>
      <c r="E292" s="52" t="inlineStr">
        <is>
          <t>電腦教室</t>
        </is>
      </c>
      <c r="F292" s="44" t="n"/>
      <c r="G292" s="44" t="n"/>
      <c r="H292" s="56">
        <f>IF(A292="","",SUMIF($A$5:$A$304,A292,$D$5:$D$304))</f>
        <v/>
      </c>
    </row>
    <row r="293" ht="15" customHeight="1" s="36">
      <c r="A293" s="44" t="inlineStr">
        <is>
          <t>資訊乙</t>
        </is>
      </c>
      <c r="B293" s="52" t="inlineStr">
        <is>
          <t>資訊</t>
        </is>
      </c>
      <c r="C293" s="52" t="inlineStr">
        <is>
          <t>5年4班</t>
        </is>
      </c>
      <c r="D293" s="44" t="n">
        <v>1</v>
      </c>
      <c r="E293" s="52" t="inlineStr">
        <is>
          <t>電腦教室</t>
        </is>
      </c>
      <c r="F293" s="44" t="n"/>
      <c r="G293" s="44" t="n"/>
      <c r="H293" s="56">
        <f>IF(A293="","",SUMIF($A$5:$A$304,A293,$D$5:$D$304))</f>
        <v/>
      </c>
    </row>
    <row r="294" ht="15" customHeight="1" s="36">
      <c r="A294" s="44" t="inlineStr">
        <is>
          <t>資訊乙</t>
        </is>
      </c>
      <c r="B294" s="52" t="inlineStr">
        <is>
          <t>資訊</t>
        </is>
      </c>
      <c r="C294" s="52" t="inlineStr">
        <is>
          <t>5年5班</t>
        </is>
      </c>
      <c r="D294" s="44" t="n">
        <v>1</v>
      </c>
      <c r="E294" s="52" t="inlineStr">
        <is>
          <t>電腦教室</t>
        </is>
      </c>
      <c r="F294" s="44" t="n"/>
      <c r="G294" s="44" t="n"/>
      <c r="H294" s="56">
        <f>IF(A294="","",SUMIF($A$5:$A$304,A294,$D$5:$D$304))</f>
        <v/>
      </c>
    </row>
    <row r="295" ht="15" customHeight="1" s="36">
      <c r="A295" s="44" t="inlineStr">
        <is>
          <t>資訊乙</t>
        </is>
      </c>
      <c r="B295" s="52" t="inlineStr">
        <is>
          <t>資訊</t>
        </is>
      </c>
      <c r="C295" s="52" t="inlineStr">
        <is>
          <t>5年6班</t>
        </is>
      </c>
      <c r="D295" s="44" t="n">
        <v>1</v>
      </c>
      <c r="E295" s="52" t="inlineStr">
        <is>
          <t>電腦教室</t>
        </is>
      </c>
      <c r="F295" s="44" t="n"/>
      <c r="G295" s="44" t="n"/>
      <c r="H295" s="56">
        <f>IF(A295="","",SUMIF($A$5:$A$304,A295,$D$5:$D$304))</f>
        <v/>
      </c>
    </row>
    <row r="296" ht="15" customHeight="1" s="36">
      <c r="A296" s="44" t="inlineStr">
        <is>
          <t>資訊乙</t>
        </is>
      </c>
      <c r="B296" s="52" t="inlineStr">
        <is>
          <t>資訊</t>
        </is>
      </c>
      <c r="C296" s="52" t="inlineStr">
        <is>
          <t>5年7班</t>
        </is>
      </c>
      <c r="D296" s="44" t="n">
        <v>1</v>
      </c>
      <c r="E296" s="52" t="inlineStr">
        <is>
          <t>電腦教室</t>
        </is>
      </c>
      <c r="F296" s="44" t="n"/>
      <c r="G296" s="44" t="n"/>
      <c r="H296" s="56">
        <f>IF(A296="","",SUMIF($A$5:$A$304,A296,$D$5:$D$304))</f>
        <v/>
      </c>
    </row>
    <row r="297" ht="15" customHeight="1" s="36">
      <c r="A297" s="44" t="inlineStr">
        <is>
          <t>資訊乙</t>
        </is>
      </c>
      <c r="B297" s="52" t="inlineStr">
        <is>
          <t>資訊</t>
        </is>
      </c>
      <c r="C297" s="52" t="inlineStr">
        <is>
          <t>5年8班</t>
        </is>
      </c>
      <c r="D297" s="44" t="n">
        <v>1</v>
      </c>
      <c r="E297" s="52" t="inlineStr">
        <is>
          <t>電腦教室</t>
        </is>
      </c>
      <c r="F297" s="44" t="n"/>
      <c r="G297" s="44" t="n"/>
      <c r="H297" s="56">
        <f>IF(A297="","",SUMIF($A$5:$A$304,A297,$D$5:$D$304))</f>
        <v/>
      </c>
    </row>
    <row r="298" ht="15" customHeight="1" s="36">
      <c r="A298" s="44" t="inlineStr">
        <is>
          <t>資訊乙</t>
        </is>
      </c>
      <c r="B298" s="52" t="inlineStr">
        <is>
          <t>資訊</t>
        </is>
      </c>
      <c r="C298" s="52" t="inlineStr">
        <is>
          <t>5年9班</t>
        </is>
      </c>
      <c r="D298" s="44" t="n">
        <v>1</v>
      </c>
      <c r="E298" s="52" t="inlineStr">
        <is>
          <t>電腦教室</t>
        </is>
      </c>
      <c r="F298" s="44" t="n"/>
      <c r="G298" s="44" t="n"/>
      <c r="H298" s="56">
        <f>IF(A298="","",SUMIF($A$5:$A$304,A298,$D$5:$D$304))</f>
        <v/>
      </c>
    </row>
    <row r="299" ht="15" customHeight="1" s="36">
      <c r="A299" s="44" t="inlineStr">
        <is>
          <t>資訊乙</t>
        </is>
      </c>
      <c r="B299" s="52" t="inlineStr">
        <is>
          <t>資訊</t>
        </is>
      </c>
      <c r="C299" s="52" t="inlineStr">
        <is>
          <t>5年10班</t>
        </is>
      </c>
      <c r="D299" s="44" t="n">
        <v>1</v>
      </c>
      <c r="E299" s="52" t="inlineStr">
        <is>
          <t>電腦教室</t>
        </is>
      </c>
      <c r="F299" s="44" t="n"/>
      <c r="G299" s="44" t="n"/>
      <c r="H299" s="56">
        <f>IF(A299="","",SUMIF($A$5:$A$304,A299,$D$5:$D$304))</f>
        <v/>
      </c>
    </row>
    <row r="300" ht="15" customHeight="1" s="36">
      <c r="A300" s="44" t="inlineStr">
        <is>
          <t>資訊乙</t>
        </is>
      </c>
      <c r="B300" s="52" t="inlineStr">
        <is>
          <t>資訊</t>
        </is>
      </c>
      <c r="C300" s="52" t="inlineStr">
        <is>
          <t>5年11班</t>
        </is>
      </c>
      <c r="D300" s="44" t="n">
        <v>1</v>
      </c>
      <c r="E300" s="52" t="inlineStr">
        <is>
          <t>電腦教室</t>
        </is>
      </c>
      <c r="F300" s="44" t="n"/>
      <c r="G300" s="44" t="n"/>
      <c r="H300" s="56">
        <f>IF(A300="","",SUMIF($A$5:$A$304,A300,$D$5:$D$304))</f>
        <v/>
      </c>
    </row>
    <row r="301" ht="15" customHeight="1" s="36">
      <c r="A301" s="44" t="inlineStr">
        <is>
          <t>資訊乙</t>
        </is>
      </c>
      <c r="B301" s="52" t="inlineStr">
        <is>
          <t>資訊</t>
        </is>
      </c>
      <c r="C301" s="52" t="inlineStr">
        <is>
          <t>5年12班</t>
        </is>
      </c>
      <c r="D301" s="44" t="n">
        <v>1</v>
      </c>
      <c r="E301" s="52" t="inlineStr">
        <is>
          <t>電腦教室</t>
        </is>
      </c>
      <c r="F301" s="44" t="n"/>
      <c r="G301" s="44" t="n"/>
      <c r="H301" s="56">
        <f>IF(A301="","",SUMIF($A$5:$A$304,A301,$D$5:$D$304))</f>
        <v/>
      </c>
    </row>
    <row r="302" ht="15" customHeight="1" s="36">
      <c r="A302" s="44" t="inlineStr">
        <is>
          <t>資訊乙</t>
        </is>
      </c>
      <c r="B302" s="52" t="inlineStr">
        <is>
          <t>資訊</t>
        </is>
      </c>
      <c r="C302" s="52" t="inlineStr">
        <is>
          <t>6年1班</t>
        </is>
      </c>
      <c r="D302" s="44" t="n">
        <v>1</v>
      </c>
      <c r="E302" s="52" t="inlineStr">
        <is>
          <t>電腦教室</t>
        </is>
      </c>
      <c r="F302" s="44" t="n"/>
      <c r="G302" s="44" t="n"/>
      <c r="H302" s="56">
        <f>IF(A302="","",SUMIF($A$5:$A$304,A302,$D$5:$D$304))</f>
        <v/>
      </c>
    </row>
    <row r="303" ht="15" customHeight="1" s="36">
      <c r="A303" s="44" t="inlineStr">
        <is>
          <t>資訊乙</t>
        </is>
      </c>
      <c r="B303" s="52" t="inlineStr">
        <is>
          <t>資訊</t>
        </is>
      </c>
      <c r="C303" s="52" t="inlineStr">
        <is>
          <t>6年2班</t>
        </is>
      </c>
      <c r="D303" s="44" t="n">
        <v>1</v>
      </c>
      <c r="E303" s="52" t="inlineStr">
        <is>
          <t>電腦教室</t>
        </is>
      </c>
      <c r="F303" s="44" t="n"/>
      <c r="G303" s="44" t="n"/>
      <c r="H303" s="56">
        <f>IF(A303="","",SUMIF($A$5:$A$304,A303,$D$5:$D$304))</f>
        <v/>
      </c>
    </row>
    <row r="304" ht="15" customHeight="1" s="36">
      <c r="A304" s="44" t="inlineStr">
        <is>
          <t>資訊乙</t>
        </is>
      </c>
      <c r="B304" s="52" t="inlineStr">
        <is>
          <t>資訊</t>
        </is>
      </c>
      <c r="C304" s="52" t="inlineStr">
        <is>
          <t>6年3班</t>
        </is>
      </c>
      <c r="D304" s="44" t="n">
        <v>1</v>
      </c>
      <c r="E304" s="52" t="inlineStr">
        <is>
          <t>電腦教室</t>
        </is>
      </c>
      <c r="F304" s="44" t="n"/>
      <c r="G304" s="44" t="n"/>
      <c r="H304" s="56">
        <f>IF(A304="","",SUMIF($A$5:$A$304,A304,$D$5:$D$304))</f>
        <v/>
      </c>
    </row>
    <row r="305">
      <c r="A305" t="inlineStr">
        <is>
          <t>資訊乙</t>
        </is>
      </c>
      <c r="B305" t="inlineStr">
        <is>
          <t>資訊</t>
        </is>
      </c>
      <c r="C305" t="inlineStr">
        <is>
          <t>6年4班</t>
        </is>
      </c>
      <c r="D305" t="n">
        <v>1</v>
      </c>
      <c r="E305" t="inlineStr">
        <is>
          <t>電腦教室</t>
        </is>
      </c>
    </row>
    <row r="306">
      <c r="A306" t="inlineStr">
        <is>
          <t>資訊乙</t>
        </is>
      </c>
      <c r="B306" t="inlineStr">
        <is>
          <t>資訊</t>
        </is>
      </c>
      <c r="C306" t="inlineStr">
        <is>
          <t>6年5班</t>
        </is>
      </c>
      <c r="D306" t="n">
        <v>1</v>
      </c>
      <c r="E306" t="inlineStr">
        <is>
          <t>電腦教室</t>
        </is>
      </c>
    </row>
    <row r="307">
      <c r="A307" t="inlineStr">
        <is>
          <t>資訊乙</t>
        </is>
      </c>
      <c r="B307" t="inlineStr">
        <is>
          <t>資訊</t>
        </is>
      </c>
      <c r="C307" t="inlineStr">
        <is>
          <t>6年6班</t>
        </is>
      </c>
      <c r="D307" t="n">
        <v>1</v>
      </c>
      <c r="E307" t="inlineStr">
        <is>
          <t>電腦教室</t>
        </is>
      </c>
    </row>
    <row r="308">
      <c r="A308" t="inlineStr">
        <is>
          <t>資訊乙</t>
        </is>
      </c>
      <c r="B308" t="inlineStr">
        <is>
          <t>資訊</t>
        </is>
      </c>
      <c r="C308" t="inlineStr">
        <is>
          <t>6年7班</t>
        </is>
      </c>
      <c r="D308" t="n">
        <v>1</v>
      </c>
      <c r="E308" t="inlineStr">
        <is>
          <t>電腦教室</t>
        </is>
      </c>
    </row>
    <row r="309">
      <c r="A309" t="inlineStr">
        <is>
          <t>資訊乙</t>
        </is>
      </c>
      <c r="B309" t="inlineStr">
        <is>
          <t>資訊</t>
        </is>
      </c>
      <c r="C309" t="inlineStr">
        <is>
          <t>6年8班</t>
        </is>
      </c>
      <c r="D309" t="n">
        <v>1</v>
      </c>
      <c r="E309" t="inlineStr">
        <is>
          <t>電腦教室</t>
        </is>
      </c>
    </row>
    <row r="310">
      <c r="A310" t="inlineStr">
        <is>
          <t>資訊乙</t>
        </is>
      </c>
      <c r="B310" t="inlineStr">
        <is>
          <t>資訊</t>
        </is>
      </c>
      <c r="C310" t="inlineStr">
        <is>
          <t>6年9班</t>
        </is>
      </c>
      <c r="D310" t="n">
        <v>1</v>
      </c>
      <c r="E310" t="inlineStr">
        <is>
          <t>電腦教室</t>
        </is>
      </c>
    </row>
    <row r="311">
      <c r="A311" t="inlineStr">
        <is>
          <t>資訊乙</t>
        </is>
      </c>
      <c r="B311" t="inlineStr">
        <is>
          <t>資訊</t>
        </is>
      </c>
      <c r="C311" t="inlineStr">
        <is>
          <t>6年10班</t>
        </is>
      </c>
      <c r="D311" t="n">
        <v>1</v>
      </c>
      <c r="E311" t="inlineStr">
        <is>
          <t>電腦教室</t>
        </is>
      </c>
    </row>
    <row r="312">
      <c r="A312" t="inlineStr">
        <is>
          <t>資訊乙</t>
        </is>
      </c>
      <c r="B312" t="inlineStr">
        <is>
          <t>資訊</t>
        </is>
      </c>
      <c r="C312" t="inlineStr">
        <is>
          <t>6年11班</t>
        </is>
      </c>
      <c r="D312" t="n">
        <v>1</v>
      </c>
      <c r="E312" t="inlineStr">
        <is>
          <t>電腦教室</t>
        </is>
      </c>
    </row>
    <row r="313">
      <c r="A313" t="inlineStr">
        <is>
          <t>資訊乙</t>
        </is>
      </c>
      <c r="B313" t="inlineStr">
        <is>
          <t>資訊</t>
        </is>
      </c>
      <c r="C313" t="inlineStr">
        <is>
          <t>6年12班</t>
        </is>
      </c>
      <c r="D313" t="n">
        <v>1</v>
      </c>
      <c r="E313" t="inlineStr">
        <is>
          <t>電腦教室</t>
        </is>
      </c>
    </row>
    <row r="314">
      <c r="A314" t="inlineStr">
        <is>
          <t>健康甲</t>
        </is>
      </c>
      <c r="B314" t="inlineStr">
        <is>
          <t>健康</t>
        </is>
      </c>
      <c r="C314" t="inlineStr">
        <is>
          <t>3年1班</t>
        </is>
      </c>
      <c r="D314" t="n">
        <v>1</v>
      </c>
      <c r="E314" t="inlineStr">
        <is>
          <t>原班教室</t>
        </is>
      </c>
    </row>
    <row r="315">
      <c r="A315" t="inlineStr">
        <is>
          <t>健康甲</t>
        </is>
      </c>
      <c r="B315" t="inlineStr">
        <is>
          <t>健康</t>
        </is>
      </c>
      <c r="C315" t="inlineStr">
        <is>
          <t>3年2班</t>
        </is>
      </c>
      <c r="D315" t="n">
        <v>1</v>
      </c>
      <c r="E315" t="inlineStr">
        <is>
          <t>原班教室</t>
        </is>
      </c>
    </row>
    <row r="316">
      <c r="A316" t="inlineStr">
        <is>
          <t>健康甲</t>
        </is>
      </c>
      <c r="B316" t="inlineStr">
        <is>
          <t>健康</t>
        </is>
      </c>
      <c r="C316" t="inlineStr">
        <is>
          <t>3年3班</t>
        </is>
      </c>
      <c r="D316" t="n">
        <v>1</v>
      </c>
      <c r="E316" t="inlineStr">
        <is>
          <t>原班教室</t>
        </is>
      </c>
    </row>
    <row r="317">
      <c r="A317" t="inlineStr">
        <is>
          <t>健康甲</t>
        </is>
      </c>
      <c r="B317" t="inlineStr">
        <is>
          <t>健康</t>
        </is>
      </c>
      <c r="C317" t="inlineStr">
        <is>
          <t>3年4班</t>
        </is>
      </c>
      <c r="D317" t="n">
        <v>1</v>
      </c>
      <c r="E317" t="inlineStr">
        <is>
          <t>原班教室</t>
        </is>
      </c>
    </row>
    <row r="318">
      <c r="A318" t="inlineStr">
        <is>
          <t>健康甲</t>
        </is>
      </c>
      <c r="B318" t="inlineStr">
        <is>
          <t>健康</t>
        </is>
      </c>
      <c r="C318" t="inlineStr">
        <is>
          <t>3年5班</t>
        </is>
      </c>
      <c r="D318" t="n">
        <v>1</v>
      </c>
      <c r="E318" t="inlineStr">
        <is>
          <t>原班教室</t>
        </is>
      </c>
    </row>
    <row r="319">
      <c r="A319" t="inlineStr">
        <is>
          <t>健康甲</t>
        </is>
      </c>
      <c r="B319" t="inlineStr">
        <is>
          <t>健康</t>
        </is>
      </c>
      <c r="C319" t="inlineStr">
        <is>
          <t>3年6班</t>
        </is>
      </c>
      <c r="D319" t="n">
        <v>1</v>
      </c>
      <c r="E319" t="inlineStr">
        <is>
          <t>原班教室</t>
        </is>
      </c>
    </row>
    <row r="320">
      <c r="A320" t="inlineStr">
        <is>
          <t>健康甲</t>
        </is>
      </c>
      <c r="B320" t="inlineStr">
        <is>
          <t>健康</t>
        </is>
      </c>
      <c r="C320" t="inlineStr">
        <is>
          <t>3年7班</t>
        </is>
      </c>
      <c r="D320" t="n">
        <v>1</v>
      </c>
      <c r="E320" t="inlineStr">
        <is>
          <t>原班教室</t>
        </is>
      </c>
    </row>
    <row r="321">
      <c r="A321" t="inlineStr">
        <is>
          <t>健康甲</t>
        </is>
      </c>
      <c r="B321" t="inlineStr">
        <is>
          <t>健康</t>
        </is>
      </c>
      <c r="C321" t="inlineStr">
        <is>
          <t>3年8班</t>
        </is>
      </c>
      <c r="D321" t="n">
        <v>1</v>
      </c>
      <c r="E321" t="inlineStr">
        <is>
          <t>原班教室</t>
        </is>
      </c>
    </row>
    <row r="322">
      <c r="A322" t="inlineStr">
        <is>
          <t>健康甲</t>
        </is>
      </c>
      <c r="B322" t="inlineStr">
        <is>
          <t>健康</t>
        </is>
      </c>
      <c r="C322" t="inlineStr">
        <is>
          <t>3年9班</t>
        </is>
      </c>
      <c r="D322" t="n">
        <v>1</v>
      </c>
      <c r="E322" t="inlineStr">
        <is>
          <t>原班教室</t>
        </is>
      </c>
    </row>
    <row r="323">
      <c r="A323" t="inlineStr">
        <is>
          <t>健康甲</t>
        </is>
      </c>
      <c r="B323" t="inlineStr">
        <is>
          <t>健康</t>
        </is>
      </c>
      <c r="C323" t="inlineStr">
        <is>
          <t>3年10班</t>
        </is>
      </c>
      <c r="D323" t="n">
        <v>1</v>
      </c>
      <c r="E323" t="inlineStr">
        <is>
          <t>原班教室</t>
        </is>
      </c>
    </row>
    <row r="324">
      <c r="A324" t="inlineStr">
        <is>
          <t>健康甲</t>
        </is>
      </c>
      <c r="B324" t="inlineStr">
        <is>
          <t>健康</t>
        </is>
      </c>
      <c r="C324" t="inlineStr">
        <is>
          <t>3年11班</t>
        </is>
      </c>
      <c r="D324" t="n">
        <v>1</v>
      </c>
      <c r="E324" t="inlineStr">
        <is>
          <t>原班教室</t>
        </is>
      </c>
    </row>
    <row r="325">
      <c r="A325" t="inlineStr">
        <is>
          <t>健康甲</t>
        </is>
      </c>
      <c r="B325" t="inlineStr">
        <is>
          <t>健康</t>
        </is>
      </c>
      <c r="C325" t="inlineStr">
        <is>
          <t>3年12班</t>
        </is>
      </c>
      <c r="D325" t="n">
        <v>1</v>
      </c>
      <c r="E325" t="inlineStr">
        <is>
          <t>原班教室</t>
        </is>
      </c>
    </row>
    <row r="326">
      <c r="A326" t="inlineStr">
        <is>
          <t>健康甲</t>
        </is>
      </c>
      <c r="B326" t="inlineStr">
        <is>
          <t>健康</t>
        </is>
      </c>
      <c r="C326" t="inlineStr">
        <is>
          <t>4年1班</t>
        </is>
      </c>
      <c r="D326" t="n">
        <v>1</v>
      </c>
      <c r="E326" t="inlineStr">
        <is>
          <t>原班教室</t>
        </is>
      </c>
    </row>
    <row r="327">
      <c r="A327" t="inlineStr">
        <is>
          <t>健康甲</t>
        </is>
      </c>
      <c r="B327" t="inlineStr">
        <is>
          <t>健康</t>
        </is>
      </c>
      <c r="C327" t="inlineStr">
        <is>
          <t>4年2班</t>
        </is>
      </c>
      <c r="D327" t="n">
        <v>1</v>
      </c>
      <c r="E327" t="inlineStr">
        <is>
          <t>原班教室</t>
        </is>
      </c>
    </row>
    <row r="328">
      <c r="A328" t="inlineStr">
        <is>
          <t>健康甲</t>
        </is>
      </c>
      <c r="B328" t="inlineStr">
        <is>
          <t>健康</t>
        </is>
      </c>
      <c r="C328" t="inlineStr">
        <is>
          <t>4年3班</t>
        </is>
      </c>
      <c r="D328" t="n">
        <v>1</v>
      </c>
      <c r="E328" t="inlineStr">
        <is>
          <t>原班教室</t>
        </is>
      </c>
    </row>
    <row r="329">
      <c r="A329" t="inlineStr">
        <is>
          <t>健康甲</t>
        </is>
      </c>
      <c r="B329" t="inlineStr">
        <is>
          <t>健康</t>
        </is>
      </c>
      <c r="C329" t="inlineStr">
        <is>
          <t>4年4班</t>
        </is>
      </c>
      <c r="D329" t="n">
        <v>1</v>
      </c>
      <c r="E329" t="inlineStr">
        <is>
          <t>原班教室</t>
        </is>
      </c>
    </row>
    <row r="330">
      <c r="A330" t="inlineStr">
        <is>
          <t>健康乙</t>
        </is>
      </c>
      <c r="B330" t="inlineStr">
        <is>
          <t>健康</t>
        </is>
      </c>
      <c r="C330" t="inlineStr">
        <is>
          <t>4年5班</t>
        </is>
      </c>
      <c r="D330" t="n">
        <v>1</v>
      </c>
      <c r="E330" t="inlineStr">
        <is>
          <t>原班教室</t>
        </is>
      </c>
    </row>
    <row r="331">
      <c r="A331" t="inlineStr">
        <is>
          <t>健康乙</t>
        </is>
      </c>
      <c r="B331" t="inlineStr">
        <is>
          <t>健康</t>
        </is>
      </c>
      <c r="C331" t="inlineStr">
        <is>
          <t>4年6班</t>
        </is>
      </c>
      <c r="D331" t="n">
        <v>1</v>
      </c>
      <c r="E331" t="inlineStr">
        <is>
          <t>原班教室</t>
        </is>
      </c>
    </row>
    <row r="332">
      <c r="A332" t="inlineStr">
        <is>
          <t>健康乙</t>
        </is>
      </c>
      <c r="B332" t="inlineStr">
        <is>
          <t>健康</t>
        </is>
      </c>
      <c r="C332" t="inlineStr">
        <is>
          <t>4年7班</t>
        </is>
      </c>
      <c r="D332" t="n">
        <v>1</v>
      </c>
      <c r="E332" t="inlineStr">
        <is>
          <t>原班教室</t>
        </is>
      </c>
    </row>
    <row r="333">
      <c r="A333" t="inlineStr">
        <is>
          <t>健康乙</t>
        </is>
      </c>
      <c r="B333" t="inlineStr">
        <is>
          <t>健康</t>
        </is>
      </c>
      <c r="C333" t="inlineStr">
        <is>
          <t>4年8班</t>
        </is>
      </c>
      <c r="D333" t="n">
        <v>1</v>
      </c>
      <c r="E333" t="inlineStr">
        <is>
          <t>原班教室</t>
        </is>
      </c>
    </row>
    <row r="334">
      <c r="A334" t="inlineStr">
        <is>
          <t>健康乙</t>
        </is>
      </c>
      <c r="B334" t="inlineStr">
        <is>
          <t>健康</t>
        </is>
      </c>
      <c r="C334" t="inlineStr">
        <is>
          <t>4年9班</t>
        </is>
      </c>
      <c r="D334" t="n">
        <v>1</v>
      </c>
      <c r="E334" t="inlineStr">
        <is>
          <t>原班教室</t>
        </is>
      </c>
    </row>
    <row r="335">
      <c r="A335" t="inlineStr">
        <is>
          <t>健康乙</t>
        </is>
      </c>
      <c r="B335" t="inlineStr">
        <is>
          <t>健康</t>
        </is>
      </c>
      <c r="C335" t="inlineStr">
        <is>
          <t>4年10班</t>
        </is>
      </c>
      <c r="D335" t="n">
        <v>1</v>
      </c>
      <c r="E335" t="inlineStr">
        <is>
          <t>原班教室</t>
        </is>
      </c>
    </row>
    <row r="336">
      <c r="A336" t="inlineStr">
        <is>
          <t>健康乙</t>
        </is>
      </c>
      <c r="B336" t="inlineStr">
        <is>
          <t>健康</t>
        </is>
      </c>
      <c r="C336" t="inlineStr">
        <is>
          <t>4年11班</t>
        </is>
      </c>
      <c r="D336" t="n">
        <v>1</v>
      </c>
      <c r="E336" t="inlineStr">
        <is>
          <t>原班教室</t>
        </is>
      </c>
    </row>
    <row r="337">
      <c r="A337" t="inlineStr">
        <is>
          <t>健康乙</t>
        </is>
      </c>
      <c r="B337" t="inlineStr">
        <is>
          <t>健康</t>
        </is>
      </c>
      <c r="C337" t="inlineStr">
        <is>
          <t>4年12班</t>
        </is>
      </c>
      <c r="D337" t="n">
        <v>1</v>
      </c>
      <c r="E337" t="inlineStr">
        <is>
          <t>原班教室</t>
        </is>
      </c>
    </row>
    <row r="338">
      <c r="A338" t="inlineStr">
        <is>
          <t>健康乙</t>
        </is>
      </c>
      <c r="B338" t="inlineStr">
        <is>
          <t>健康</t>
        </is>
      </c>
      <c r="C338" t="inlineStr">
        <is>
          <t>5年1班</t>
        </is>
      </c>
      <c r="D338" t="n">
        <v>1</v>
      </c>
      <c r="E338" t="inlineStr">
        <is>
          <t>原班教室</t>
        </is>
      </c>
    </row>
    <row r="339">
      <c r="A339" t="inlineStr">
        <is>
          <t>健康乙</t>
        </is>
      </c>
      <c r="B339" t="inlineStr">
        <is>
          <t>健康</t>
        </is>
      </c>
      <c r="C339" t="inlineStr">
        <is>
          <t>5年2班</t>
        </is>
      </c>
      <c r="D339" t="n">
        <v>1</v>
      </c>
      <c r="E339" t="inlineStr">
        <is>
          <t>原班教室</t>
        </is>
      </c>
    </row>
    <row r="340">
      <c r="A340" t="inlineStr">
        <is>
          <t>健康乙</t>
        </is>
      </c>
      <c r="B340" t="inlineStr">
        <is>
          <t>健康</t>
        </is>
      </c>
      <c r="C340" t="inlineStr">
        <is>
          <t>5年3班</t>
        </is>
      </c>
      <c r="D340" t="n">
        <v>1</v>
      </c>
      <c r="E340" t="inlineStr">
        <is>
          <t>原班教室</t>
        </is>
      </c>
    </row>
    <row r="341">
      <c r="A341" t="inlineStr">
        <is>
          <t>健康乙</t>
        </is>
      </c>
      <c r="B341" t="inlineStr">
        <is>
          <t>健康</t>
        </is>
      </c>
      <c r="C341" t="inlineStr">
        <is>
          <t>5年4班</t>
        </is>
      </c>
      <c r="D341" t="n">
        <v>1</v>
      </c>
      <c r="E341" t="inlineStr">
        <is>
          <t>原班教室</t>
        </is>
      </c>
    </row>
    <row r="342">
      <c r="A342" t="inlineStr">
        <is>
          <t>健康乙</t>
        </is>
      </c>
      <c r="B342" t="inlineStr">
        <is>
          <t>健康</t>
        </is>
      </c>
      <c r="C342" t="inlineStr">
        <is>
          <t>5年5班</t>
        </is>
      </c>
      <c r="D342" t="n">
        <v>1</v>
      </c>
      <c r="E342" t="inlineStr">
        <is>
          <t>原班教室</t>
        </is>
      </c>
    </row>
    <row r="343">
      <c r="A343" t="inlineStr">
        <is>
          <t>健康乙</t>
        </is>
      </c>
      <c r="B343" t="inlineStr">
        <is>
          <t>健康</t>
        </is>
      </c>
      <c r="C343" t="inlineStr">
        <is>
          <t>5年6班</t>
        </is>
      </c>
      <c r="D343" t="n">
        <v>1</v>
      </c>
      <c r="E343" t="inlineStr">
        <is>
          <t>原班教室</t>
        </is>
      </c>
    </row>
    <row r="344">
      <c r="A344" t="inlineStr">
        <is>
          <t>健康乙</t>
        </is>
      </c>
      <c r="B344" t="inlineStr">
        <is>
          <t>健康</t>
        </is>
      </c>
      <c r="C344" t="inlineStr">
        <is>
          <t>5年7班</t>
        </is>
      </c>
      <c r="D344" t="n">
        <v>1</v>
      </c>
      <c r="E344" t="inlineStr">
        <is>
          <t>原班教室</t>
        </is>
      </c>
    </row>
    <row r="345">
      <c r="A345" t="inlineStr">
        <is>
          <t>健康乙</t>
        </is>
      </c>
      <c r="B345" t="inlineStr">
        <is>
          <t>健康</t>
        </is>
      </c>
      <c r="C345" t="inlineStr">
        <is>
          <t>5年8班</t>
        </is>
      </c>
      <c r="D345" t="n">
        <v>1</v>
      </c>
      <c r="E345" t="inlineStr">
        <is>
          <t>原班教室</t>
        </is>
      </c>
    </row>
    <row r="346">
      <c r="A346" t="inlineStr">
        <is>
          <t>健康丙</t>
        </is>
      </c>
      <c r="B346" t="inlineStr">
        <is>
          <t>健康</t>
        </is>
      </c>
      <c r="C346" t="inlineStr">
        <is>
          <t>5年9班</t>
        </is>
      </c>
      <c r="D346" t="n">
        <v>1</v>
      </c>
      <c r="E346" t="inlineStr">
        <is>
          <t>原班教室</t>
        </is>
      </c>
    </row>
    <row r="347">
      <c r="A347" t="inlineStr">
        <is>
          <t>健康丙</t>
        </is>
      </c>
      <c r="B347" t="inlineStr">
        <is>
          <t>健康</t>
        </is>
      </c>
      <c r="C347" t="inlineStr">
        <is>
          <t>5年10班</t>
        </is>
      </c>
      <c r="D347" t="n">
        <v>1</v>
      </c>
      <c r="E347" t="inlineStr">
        <is>
          <t>原班教室</t>
        </is>
      </c>
    </row>
    <row r="348">
      <c r="A348" t="inlineStr">
        <is>
          <t>健康丙</t>
        </is>
      </c>
      <c r="B348" t="inlineStr">
        <is>
          <t>健康</t>
        </is>
      </c>
      <c r="C348" t="inlineStr">
        <is>
          <t>5年11班</t>
        </is>
      </c>
      <c r="D348" t="n">
        <v>1</v>
      </c>
      <c r="E348" t="inlineStr">
        <is>
          <t>原班教室</t>
        </is>
      </c>
    </row>
    <row r="349">
      <c r="A349" t="inlineStr">
        <is>
          <t>健康丙</t>
        </is>
      </c>
      <c r="B349" t="inlineStr">
        <is>
          <t>健康</t>
        </is>
      </c>
      <c r="C349" t="inlineStr">
        <is>
          <t>5年12班</t>
        </is>
      </c>
      <c r="D349" t="n">
        <v>1</v>
      </c>
      <c r="E349" t="inlineStr">
        <is>
          <t>原班教室</t>
        </is>
      </c>
    </row>
    <row r="350">
      <c r="A350" t="inlineStr">
        <is>
          <t>健康丙</t>
        </is>
      </c>
      <c r="B350" t="inlineStr">
        <is>
          <t>健康</t>
        </is>
      </c>
      <c r="C350" t="inlineStr">
        <is>
          <t>6年1班</t>
        </is>
      </c>
      <c r="D350" t="n">
        <v>1</v>
      </c>
      <c r="E350" t="inlineStr">
        <is>
          <t>原班教室</t>
        </is>
      </c>
    </row>
    <row r="351">
      <c r="A351" t="inlineStr">
        <is>
          <t>健康丙</t>
        </is>
      </c>
      <c r="B351" t="inlineStr">
        <is>
          <t>健康</t>
        </is>
      </c>
      <c r="C351" t="inlineStr">
        <is>
          <t>6年2班</t>
        </is>
      </c>
      <c r="D351" t="n">
        <v>1</v>
      </c>
      <c r="E351" t="inlineStr">
        <is>
          <t>原班教室</t>
        </is>
      </c>
    </row>
    <row r="352">
      <c r="A352" t="inlineStr">
        <is>
          <t>健康丙</t>
        </is>
      </c>
      <c r="B352" t="inlineStr">
        <is>
          <t>健康</t>
        </is>
      </c>
      <c r="C352" t="inlineStr">
        <is>
          <t>6年3班</t>
        </is>
      </c>
      <c r="D352" t="n">
        <v>1</v>
      </c>
      <c r="E352" t="inlineStr">
        <is>
          <t>原班教室</t>
        </is>
      </c>
    </row>
    <row r="353">
      <c r="A353" t="inlineStr">
        <is>
          <t>健康丙</t>
        </is>
      </c>
      <c r="B353" t="inlineStr">
        <is>
          <t>健康</t>
        </is>
      </c>
      <c r="C353" t="inlineStr">
        <is>
          <t>6年4班</t>
        </is>
      </c>
      <c r="D353" t="n">
        <v>1</v>
      </c>
      <c r="E353" t="inlineStr">
        <is>
          <t>原班教室</t>
        </is>
      </c>
    </row>
    <row r="354">
      <c r="A354" t="inlineStr">
        <is>
          <t>健康丙</t>
        </is>
      </c>
      <c r="B354" t="inlineStr">
        <is>
          <t>健康</t>
        </is>
      </c>
      <c r="C354" t="inlineStr">
        <is>
          <t>6年5班</t>
        </is>
      </c>
      <c r="D354" t="n">
        <v>1</v>
      </c>
      <c r="E354" t="inlineStr">
        <is>
          <t>原班教室</t>
        </is>
      </c>
    </row>
    <row r="355">
      <c r="A355" t="inlineStr">
        <is>
          <t>健康丙</t>
        </is>
      </c>
      <c r="B355" t="inlineStr">
        <is>
          <t>健康</t>
        </is>
      </c>
      <c r="C355" t="inlineStr">
        <is>
          <t>6年6班</t>
        </is>
      </c>
      <c r="D355" t="n">
        <v>1</v>
      </c>
      <c r="E355" t="inlineStr">
        <is>
          <t>原班教室</t>
        </is>
      </c>
    </row>
    <row r="356">
      <c r="A356" t="inlineStr">
        <is>
          <t>健康丙</t>
        </is>
      </c>
      <c r="B356" t="inlineStr">
        <is>
          <t>健康</t>
        </is>
      </c>
      <c r="C356" t="inlineStr">
        <is>
          <t>6年7班</t>
        </is>
      </c>
      <c r="D356" t="n">
        <v>1</v>
      </c>
      <c r="E356" t="inlineStr">
        <is>
          <t>原班教室</t>
        </is>
      </c>
    </row>
    <row r="357">
      <c r="A357" t="inlineStr">
        <is>
          <t>健康丙</t>
        </is>
      </c>
      <c r="B357" t="inlineStr">
        <is>
          <t>健康</t>
        </is>
      </c>
      <c r="C357" t="inlineStr">
        <is>
          <t>6年8班</t>
        </is>
      </c>
      <c r="D357" t="n">
        <v>1</v>
      </c>
      <c r="E357" t="inlineStr">
        <is>
          <t>原班教室</t>
        </is>
      </c>
    </row>
    <row r="358">
      <c r="A358" t="inlineStr">
        <is>
          <t>健康丙</t>
        </is>
      </c>
      <c r="B358" t="inlineStr">
        <is>
          <t>健康</t>
        </is>
      </c>
      <c r="C358" t="inlineStr">
        <is>
          <t>6年9班</t>
        </is>
      </c>
      <c r="D358" t="n">
        <v>1</v>
      </c>
      <c r="E358" t="inlineStr">
        <is>
          <t>原班教室</t>
        </is>
      </c>
    </row>
    <row r="359">
      <c r="A359" t="inlineStr">
        <is>
          <t>健康丙</t>
        </is>
      </c>
      <c r="B359" t="inlineStr">
        <is>
          <t>健康</t>
        </is>
      </c>
      <c r="C359" t="inlineStr">
        <is>
          <t>6年10班</t>
        </is>
      </c>
      <c r="D359" t="n">
        <v>1</v>
      </c>
      <c r="E359" t="inlineStr">
        <is>
          <t>原班教室</t>
        </is>
      </c>
    </row>
    <row r="360">
      <c r="A360" t="inlineStr">
        <is>
          <t>健康丙</t>
        </is>
      </c>
      <c r="B360" t="inlineStr">
        <is>
          <t>健康</t>
        </is>
      </c>
      <c r="C360" t="inlineStr">
        <is>
          <t>6年11班</t>
        </is>
      </c>
      <c r="D360" t="n">
        <v>1</v>
      </c>
      <c r="E360" t="inlineStr">
        <is>
          <t>原班教室</t>
        </is>
      </c>
    </row>
    <row r="361">
      <c r="A361" t="inlineStr">
        <is>
          <t>健康丙</t>
        </is>
      </c>
      <c r="B361" t="inlineStr">
        <is>
          <t>健康</t>
        </is>
      </c>
      <c r="C361" t="inlineStr">
        <is>
          <t>6年12班</t>
        </is>
      </c>
      <c r="D361" t="n">
        <v>1</v>
      </c>
      <c r="E361" t="inlineStr">
        <is>
          <t>原班教室</t>
        </is>
      </c>
    </row>
    <row r="362">
      <c r="A362" t="inlineStr">
        <is>
          <t>社會甲</t>
        </is>
      </c>
      <c r="B362" t="inlineStr">
        <is>
          <t>社會</t>
        </is>
      </c>
      <c r="C362" t="inlineStr">
        <is>
          <t>5年1班</t>
        </is>
      </c>
      <c r="D362" t="n">
        <v>3</v>
      </c>
      <c r="E362" t="inlineStr">
        <is>
          <t>原班教室</t>
        </is>
      </c>
    </row>
    <row r="363">
      <c r="A363" t="inlineStr">
        <is>
          <t>社會甲</t>
        </is>
      </c>
      <c r="B363" t="inlineStr">
        <is>
          <t>社會</t>
        </is>
      </c>
      <c r="C363" t="inlineStr">
        <is>
          <t>5年2班</t>
        </is>
      </c>
      <c r="D363" t="n">
        <v>3</v>
      </c>
      <c r="E363" t="inlineStr">
        <is>
          <t>原班教室</t>
        </is>
      </c>
    </row>
    <row r="364">
      <c r="A364" t="inlineStr">
        <is>
          <t>社會甲</t>
        </is>
      </c>
      <c r="B364" t="inlineStr">
        <is>
          <t>社會</t>
        </is>
      </c>
      <c r="C364" t="inlineStr">
        <is>
          <t>5年3班</t>
        </is>
      </c>
      <c r="D364" t="n">
        <v>3</v>
      </c>
      <c r="E364" t="inlineStr">
        <is>
          <t>原班教室</t>
        </is>
      </c>
    </row>
    <row r="365">
      <c r="A365" t="inlineStr">
        <is>
          <t>社會甲</t>
        </is>
      </c>
      <c r="B365" t="inlineStr">
        <is>
          <t>社會</t>
        </is>
      </c>
      <c r="C365" t="inlineStr">
        <is>
          <t>5年4班</t>
        </is>
      </c>
      <c r="D365" t="n">
        <v>3</v>
      </c>
      <c r="E365" t="inlineStr">
        <is>
          <t>原班教室</t>
        </is>
      </c>
    </row>
    <row r="366">
      <c r="A366" t="inlineStr">
        <is>
          <t>社會甲</t>
        </is>
      </c>
      <c r="B366" t="inlineStr">
        <is>
          <t>社會</t>
        </is>
      </c>
      <c r="C366" t="inlineStr">
        <is>
          <t>5年5班</t>
        </is>
      </c>
      <c r="D366" t="n">
        <v>3</v>
      </c>
      <c r="E366" t="inlineStr">
        <is>
          <t>原班教室</t>
        </is>
      </c>
    </row>
    <row r="367">
      <c r="A367" t="inlineStr">
        <is>
          <t>社會甲</t>
        </is>
      </c>
      <c r="B367" t="inlineStr">
        <is>
          <t>社會</t>
        </is>
      </c>
      <c r="C367" t="inlineStr">
        <is>
          <t>5年6班</t>
        </is>
      </c>
      <c r="D367" t="n">
        <v>3</v>
      </c>
      <c r="E367" t="inlineStr">
        <is>
          <t>原班教室</t>
        </is>
      </c>
    </row>
    <row r="368">
      <c r="A368" t="inlineStr">
        <is>
          <t>社會乙</t>
        </is>
      </c>
      <c r="B368" t="inlineStr">
        <is>
          <t>社會</t>
        </is>
      </c>
      <c r="C368" t="inlineStr">
        <is>
          <t>5年7班</t>
        </is>
      </c>
      <c r="D368" t="n">
        <v>3</v>
      </c>
      <c r="E368" t="inlineStr">
        <is>
          <t>原班教室</t>
        </is>
      </c>
    </row>
    <row r="369">
      <c r="A369" t="inlineStr">
        <is>
          <t>社會乙</t>
        </is>
      </c>
      <c r="B369" t="inlineStr">
        <is>
          <t>社會</t>
        </is>
      </c>
      <c r="C369" t="inlineStr">
        <is>
          <t>5年8班</t>
        </is>
      </c>
      <c r="D369" t="n">
        <v>3</v>
      </c>
      <c r="E369" t="inlineStr">
        <is>
          <t>原班教室</t>
        </is>
      </c>
    </row>
    <row r="370">
      <c r="A370" t="inlineStr">
        <is>
          <t>社會乙</t>
        </is>
      </c>
      <c r="B370" t="inlineStr">
        <is>
          <t>社會</t>
        </is>
      </c>
      <c r="C370" t="inlineStr">
        <is>
          <t>5年9班</t>
        </is>
      </c>
      <c r="D370" t="n">
        <v>3</v>
      </c>
      <c r="E370" t="inlineStr">
        <is>
          <t>原班教室</t>
        </is>
      </c>
    </row>
    <row r="371">
      <c r="A371" t="inlineStr">
        <is>
          <t>社會乙</t>
        </is>
      </c>
      <c r="B371" t="inlineStr">
        <is>
          <t>社會</t>
        </is>
      </c>
      <c r="C371" t="inlineStr">
        <is>
          <t>5年10班</t>
        </is>
      </c>
      <c r="D371" t="n">
        <v>3</v>
      </c>
      <c r="E371" t="inlineStr">
        <is>
          <t>原班教室</t>
        </is>
      </c>
    </row>
    <row r="372">
      <c r="A372" t="inlineStr">
        <is>
          <t>社會乙</t>
        </is>
      </c>
      <c r="B372" t="inlineStr">
        <is>
          <t>社會</t>
        </is>
      </c>
      <c r="C372" t="inlineStr">
        <is>
          <t>5年11班</t>
        </is>
      </c>
      <c r="D372" t="n">
        <v>3</v>
      </c>
      <c r="E372" t="inlineStr">
        <is>
          <t>原班教室</t>
        </is>
      </c>
    </row>
    <row r="373">
      <c r="A373" t="inlineStr">
        <is>
          <t>社會乙</t>
        </is>
      </c>
      <c r="B373" t="inlineStr">
        <is>
          <t>社會</t>
        </is>
      </c>
      <c r="C373" t="inlineStr">
        <is>
          <t>5年12班</t>
        </is>
      </c>
      <c r="D373" t="n">
        <v>3</v>
      </c>
      <c r="E373" t="inlineStr">
        <is>
          <t>原班教室</t>
        </is>
      </c>
    </row>
    <row r="374">
      <c r="A374" t="inlineStr">
        <is>
          <t>社會丙</t>
        </is>
      </c>
      <c r="B374" t="inlineStr">
        <is>
          <t>社會</t>
        </is>
      </c>
      <c r="C374" t="inlineStr">
        <is>
          <t>6年1班</t>
        </is>
      </c>
      <c r="D374" t="n">
        <v>3</v>
      </c>
      <c r="E374" t="inlineStr">
        <is>
          <t>原班教室</t>
        </is>
      </c>
    </row>
    <row r="375">
      <c r="A375" t="inlineStr">
        <is>
          <t>社會丙</t>
        </is>
      </c>
      <c r="B375" t="inlineStr">
        <is>
          <t>社會</t>
        </is>
      </c>
      <c r="C375" t="inlineStr">
        <is>
          <t>6年2班</t>
        </is>
      </c>
      <c r="D375" t="n">
        <v>3</v>
      </c>
      <c r="E375" t="inlineStr">
        <is>
          <t>原班教室</t>
        </is>
      </c>
    </row>
    <row r="376">
      <c r="A376" t="inlineStr">
        <is>
          <t>社會丙</t>
        </is>
      </c>
      <c r="B376" t="inlineStr">
        <is>
          <t>社會</t>
        </is>
      </c>
      <c r="C376" t="inlineStr">
        <is>
          <t>6年3班</t>
        </is>
      </c>
      <c r="D376" t="n">
        <v>3</v>
      </c>
      <c r="E376" t="inlineStr">
        <is>
          <t>原班教室</t>
        </is>
      </c>
    </row>
    <row r="377">
      <c r="A377" t="inlineStr">
        <is>
          <t>社會丙</t>
        </is>
      </c>
      <c r="B377" t="inlineStr">
        <is>
          <t>社會</t>
        </is>
      </c>
      <c r="C377" t="inlineStr">
        <is>
          <t>6年4班</t>
        </is>
      </c>
      <c r="D377" t="n">
        <v>3</v>
      </c>
      <c r="E377" t="inlineStr">
        <is>
          <t>原班教室</t>
        </is>
      </c>
    </row>
    <row r="378">
      <c r="A378" t="inlineStr">
        <is>
          <t>社會丙</t>
        </is>
      </c>
      <c r="B378" t="inlineStr">
        <is>
          <t>社會</t>
        </is>
      </c>
      <c r="C378" t="inlineStr">
        <is>
          <t>6年5班</t>
        </is>
      </c>
      <c r="D378" t="n">
        <v>3</v>
      </c>
      <c r="E378" t="inlineStr">
        <is>
          <t>原班教室</t>
        </is>
      </c>
    </row>
    <row r="379">
      <c r="A379" t="inlineStr">
        <is>
          <t>社會丙</t>
        </is>
      </c>
      <c r="B379" t="inlineStr">
        <is>
          <t>社會</t>
        </is>
      </c>
      <c r="C379" t="inlineStr">
        <is>
          <t>6年6班</t>
        </is>
      </c>
      <c r="D379" t="n">
        <v>3</v>
      </c>
      <c r="E379" t="inlineStr">
        <is>
          <t>原班教室</t>
        </is>
      </c>
    </row>
    <row r="380">
      <c r="A380" t="inlineStr">
        <is>
          <t>社會丁</t>
        </is>
      </c>
      <c r="B380" t="inlineStr">
        <is>
          <t>社會</t>
        </is>
      </c>
      <c r="C380" t="inlineStr">
        <is>
          <t>6年7班</t>
        </is>
      </c>
      <c r="D380" t="n">
        <v>3</v>
      </c>
      <c r="E380" t="inlineStr">
        <is>
          <t>原班教室</t>
        </is>
      </c>
    </row>
    <row r="381">
      <c r="A381" t="inlineStr">
        <is>
          <t>社會丁</t>
        </is>
      </c>
      <c r="B381" t="inlineStr">
        <is>
          <t>社會</t>
        </is>
      </c>
      <c r="C381" t="inlineStr">
        <is>
          <t>6年8班</t>
        </is>
      </c>
      <c r="D381" t="n">
        <v>3</v>
      </c>
      <c r="E381" t="inlineStr">
        <is>
          <t>原班教室</t>
        </is>
      </c>
    </row>
    <row r="382">
      <c r="A382" t="inlineStr">
        <is>
          <t>社會丁</t>
        </is>
      </c>
      <c r="B382" t="inlineStr">
        <is>
          <t>社會</t>
        </is>
      </c>
      <c r="C382" t="inlineStr">
        <is>
          <t>6年9班</t>
        </is>
      </c>
      <c r="D382" t="n">
        <v>3</v>
      </c>
      <c r="E382" t="inlineStr">
        <is>
          <t>原班教室</t>
        </is>
      </c>
    </row>
    <row r="383">
      <c r="A383" t="inlineStr">
        <is>
          <t>社會丁</t>
        </is>
      </c>
      <c r="B383" t="inlineStr">
        <is>
          <t>社會</t>
        </is>
      </c>
      <c r="C383" t="inlineStr">
        <is>
          <t>6年10班</t>
        </is>
      </c>
      <c r="D383" t="n">
        <v>3</v>
      </c>
      <c r="E383" t="inlineStr">
        <is>
          <t>原班教室</t>
        </is>
      </c>
    </row>
    <row r="384">
      <c r="A384" t="inlineStr">
        <is>
          <t>社會丁</t>
        </is>
      </c>
      <c r="B384" t="inlineStr">
        <is>
          <t>社會</t>
        </is>
      </c>
      <c r="C384" t="inlineStr">
        <is>
          <t>6年11班</t>
        </is>
      </c>
      <c r="D384" t="n">
        <v>3</v>
      </c>
      <c r="E384" t="inlineStr">
        <is>
          <t>原班教室</t>
        </is>
      </c>
    </row>
    <row r="385">
      <c r="A385" t="inlineStr">
        <is>
          <t>社會丁</t>
        </is>
      </c>
      <c r="B385" t="inlineStr">
        <is>
          <t>社會</t>
        </is>
      </c>
      <c r="C385" t="inlineStr">
        <is>
          <t>6年12班</t>
        </is>
      </c>
      <c r="D385" t="n">
        <v>3</v>
      </c>
      <c r="E385" t="inlineStr">
        <is>
          <t>原班教室</t>
        </is>
      </c>
    </row>
  </sheetData>
  <mergeCells count="2">
    <mergeCell ref="A2:H2"/>
    <mergeCell ref="A1:H1"/>
  </mergeCells>
  <dataValidations count="3">
    <dataValidation sqref="B5:B304" showDropDown="0" showInputMessage="0" showErrorMessage="0" allowBlank="1" type="list" errorStyle="stop" operator="between">
      <formula1>選項!$A$2:$A$13</formula1>
      <formula2>0</formula2>
    </dataValidation>
    <dataValidation sqref="C5:C304" showDropDown="0" showInputMessage="0" showErrorMessage="0" allowBlank="1" type="list" errorStyle="stop" operator="between">
      <formula1>選項!$B$2:$B$72</formula1>
      <formula2>0</formula2>
    </dataValidation>
    <dataValidation sqref="E5:E304" showDropDown="0" showInputMessage="0" showErrorMessage="0" allowBlank="1" type="list" errorStyle="stop" operator="between">
      <formula1>選項!$J$2:$J$7</formula1>
      <formula2>0</formula2>
    </dataValidation>
  </dataValidation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G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35" min="1" max="1"/>
    <col width="8" customWidth="1" style="35" min="2" max="3"/>
    <col width="12" customWidth="1" style="35" min="4" max="4"/>
    <col width="14" customWidth="1" style="35" min="5" max="5"/>
    <col width="16" customWidth="1" style="35" min="6" max="6"/>
    <col width="26" customWidth="1" style="35" min="7" max="7"/>
  </cols>
  <sheetData>
    <row r="1" ht="27.75" customHeight="1" s="36">
      <c r="A1" s="48" t="inlineStr">
        <is>
          <t>3. 本土語預排</t>
        </is>
      </c>
    </row>
    <row r="2" ht="36" customHeight="1" s="36">
      <c r="A2" s="49" t="inlineStr">
        <is>
          <t>學校已排好的本土語時段，系統會直接鎖定。一列＝一班的一個時段。跨班分組上課時，每個參與的班級都要各填一列。</t>
        </is>
      </c>
    </row>
    <row r="3" ht="17.15" customHeight="1" s="36">
      <c r="A3" s="39" t="inlineStr">
        <is>
          <t>班級</t>
        </is>
      </c>
      <c r="B3" s="39" t="inlineStr">
        <is>
          <t>星期</t>
        </is>
      </c>
      <c r="C3" s="39" t="inlineStr">
        <is>
          <t>節次</t>
        </is>
      </c>
      <c r="D3" s="39" t="inlineStr">
        <is>
          <t>語別</t>
        </is>
      </c>
      <c r="E3" s="39" t="inlineStr">
        <is>
          <t>授課教師</t>
        </is>
      </c>
      <c r="F3" s="39" t="inlineStr">
        <is>
          <t>上課地點</t>
        </is>
      </c>
      <c r="G3" s="39" t="inlineStr">
        <is>
          <t>備註</t>
        </is>
      </c>
    </row>
    <row r="4" ht="15" customHeight="1" s="36">
      <c r="A4" s="55" t="inlineStr">
        <is>
          <t>3年1班</t>
        </is>
      </c>
      <c r="B4" s="54" t="inlineStr">
        <is>
          <t>二</t>
        </is>
      </c>
      <c r="C4" s="55" t="inlineStr">
        <is>
          <t>3</t>
        </is>
      </c>
      <c r="D4" s="54" t="inlineStr">
        <is>
          <t>閩南語</t>
        </is>
      </c>
      <c r="E4" s="54" t="inlineStr">
        <is>
          <t>（範例）陳老師</t>
        </is>
      </c>
      <c r="F4" s="54" t="inlineStr">
        <is>
          <t>原班教室</t>
        </is>
      </c>
      <c r="G4" s="54" t="n"/>
    </row>
    <row r="5" ht="15" customHeight="1" s="36">
      <c r="A5" s="52" t="inlineStr">
        <is>
          <t>6年3班</t>
        </is>
      </c>
      <c r="B5" s="52" t="inlineStr">
        <is>
          <t>三</t>
        </is>
      </c>
      <c r="C5" s="52" t="inlineStr">
        <is>
          <t>3</t>
        </is>
      </c>
      <c r="D5" s="52" t="inlineStr">
        <is>
          <t>閩南語</t>
        </is>
      </c>
      <c r="E5" s="44" t="inlineStr">
        <is>
          <t>閩南語甲</t>
        </is>
      </c>
      <c r="F5" s="44" t="inlineStr">
        <is>
          <t>原班教室</t>
        </is>
      </c>
      <c r="G5" s="44" t="n"/>
    </row>
    <row r="6" ht="15" customHeight="1" s="36">
      <c r="A6" s="52" t="inlineStr">
        <is>
          <t>3年7班</t>
        </is>
      </c>
      <c r="B6" s="52" t="inlineStr">
        <is>
          <t>五</t>
        </is>
      </c>
      <c r="C6" s="52" t="inlineStr">
        <is>
          <t>2</t>
        </is>
      </c>
      <c r="D6" s="52" t="inlineStr">
        <is>
          <t>閩南語</t>
        </is>
      </c>
      <c r="E6" s="44" t="inlineStr">
        <is>
          <t>閩南語甲</t>
        </is>
      </c>
      <c r="F6" s="44" t="inlineStr">
        <is>
          <t>原班教室</t>
        </is>
      </c>
      <c r="G6" s="44" t="n"/>
    </row>
    <row r="7" ht="15" customHeight="1" s="36">
      <c r="A7" s="52" t="inlineStr">
        <is>
          <t>4年5班</t>
        </is>
      </c>
      <c r="B7" s="52" t="inlineStr">
        <is>
          <t>二</t>
        </is>
      </c>
      <c r="C7" s="52" t="inlineStr">
        <is>
          <t>5</t>
        </is>
      </c>
      <c r="D7" s="52" t="inlineStr">
        <is>
          <t>閩南語</t>
        </is>
      </c>
      <c r="E7" s="44" t="inlineStr">
        <is>
          <t>閩南語甲</t>
        </is>
      </c>
      <c r="F7" s="44" t="inlineStr">
        <is>
          <t>原班教室</t>
        </is>
      </c>
      <c r="G7" s="44" t="n"/>
    </row>
    <row r="8" ht="15" customHeight="1" s="36">
      <c r="A8" s="52" t="inlineStr">
        <is>
          <t>1年2班</t>
        </is>
      </c>
      <c r="B8" s="52" t="inlineStr">
        <is>
          <t>一</t>
        </is>
      </c>
      <c r="C8" s="52" t="inlineStr">
        <is>
          <t>1</t>
        </is>
      </c>
      <c r="D8" s="52" t="inlineStr">
        <is>
          <t>閩南語</t>
        </is>
      </c>
      <c r="E8" s="44" t="inlineStr">
        <is>
          <t>閩南語甲</t>
        </is>
      </c>
      <c r="F8" s="44" t="inlineStr">
        <is>
          <t>原班教室</t>
        </is>
      </c>
      <c r="G8" s="44" t="n"/>
    </row>
    <row r="9" ht="15" customHeight="1" s="36">
      <c r="A9" s="52" t="inlineStr">
        <is>
          <t>5年9班</t>
        </is>
      </c>
      <c r="B9" s="52" t="inlineStr">
        <is>
          <t>一</t>
        </is>
      </c>
      <c r="C9" s="52" t="inlineStr">
        <is>
          <t>3</t>
        </is>
      </c>
      <c r="D9" s="52" t="inlineStr">
        <is>
          <t>閩南語</t>
        </is>
      </c>
      <c r="E9" s="44" t="inlineStr">
        <is>
          <t>閩南語甲</t>
        </is>
      </c>
      <c r="F9" s="44" t="inlineStr">
        <is>
          <t>原班教室</t>
        </is>
      </c>
      <c r="G9" s="44" t="n"/>
    </row>
    <row r="10" ht="15" customHeight="1" s="36">
      <c r="A10" s="52" t="inlineStr">
        <is>
          <t>6年11班</t>
        </is>
      </c>
      <c r="B10" s="52" t="inlineStr">
        <is>
          <t>二</t>
        </is>
      </c>
      <c r="C10" s="52" t="inlineStr">
        <is>
          <t>1</t>
        </is>
      </c>
      <c r="D10" s="52" t="inlineStr">
        <is>
          <t>閩南語</t>
        </is>
      </c>
      <c r="E10" s="44" t="inlineStr">
        <is>
          <t>閩南語甲</t>
        </is>
      </c>
      <c r="F10" s="44" t="inlineStr">
        <is>
          <t>原班教室</t>
        </is>
      </c>
      <c r="G10" s="44" t="n"/>
    </row>
    <row r="11" ht="15" customHeight="1" s="36">
      <c r="A11" s="52" t="inlineStr">
        <is>
          <t>1年8班</t>
        </is>
      </c>
      <c r="B11" s="52" t="inlineStr">
        <is>
          <t>一</t>
        </is>
      </c>
      <c r="C11" s="52" t="inlineStr">
        <is>
          <t>2</t>
        </is>
      </c>
      <c r="D11" s="52" t="inlineStr">
        <is>
          <t>閩南語</t>
        </is>
      </c>
      <c r="E11" s="44" t="inlineStr">
        <is>
          <t>閩南語甲</t>
        </is>
      </c>
      <c r="F11" s="44" t="inlineStr">
        <is>
          <t>原班教室</t>
        </is>
      </c>
      <c r="G11" s="44" t="n"/>
    </row>
    <row r="12" ht="15" customHeight="1" s="36">
      <c r="A12" s="52" t="inlineStr">
        <is>
          <t>1年5班</t>
        </is>
      </c>
      <c r="B12" s="52" t="inlineStr">
        <is>
          <t>四</t>
        </is>
      </c>
      <c r="C12" s="52" t="inlineStr">
        <is>
          <t>2</t>
        </is>
      </c>
      <c r="D12" s="52" t="inlineStr">
        <is>
          <t>閩南語</t>
        </is>
      </c>
      <c r="E12" s="44" t="inlineStr">
        <is>
          <t>閩南語甲</t>
        </is>
      </c>
      <c r="F12" s="44" t="inlineStr">
        <is>
          <t>原班教室</t>
        </is>
      </c>
      <c r="G12" s="44" t="n"/>
    </row>
    <row r="13" ht="15" customHeight="1" s="36">
      <c r="A13" s="52" t="inlineStr">
        <is>
          <t>6年5班</t>
        </is>
      </c>
      <c r="B13" s="52" t="inlineStr">
        <is>
          <t>四</t>
        </is>
      </c>
      <c r="C13" s="52" t="inlineStr">
        <is>
          <t>1</t>
        </is>
      </c>
      <c r="D13" s="52" t="inlineStr">
        <is>
          <t>閩南語</t>
        </is>
      </c>
      <c r="E13" s="44" t="inlineStr">
        <is>
          <t>閩南語甲</t>
        </is>
      </c>
      <c r="F13" s="44" t="inlineStr">
        <is>
          <t>原班教室</t>
        </is>
      </c>
      <c r="G13" s="44" t="n"/>
    </row>
    <row r="14" ht="15" customHeight="1" s="36">
      <c r="A14" s="52" t="inlineStr">
        <is>
          <t>3年2班</t>
        </is>
      </c>
      <c r="B14" s="52" t="inlineStr">
        <is>
          <t>五</t>
        </is>
      </c>
      <c r="C14" s="52" t="inlineStr">
        <is>
          <t>4</t>
        </is>
      </c>
      <c r="D14" s="52" t="inlineStr">
        <is>
          <t>閩南語</t>
        </is>
      </c>
      <c r="E14" s="44" t="inlineStr">
        <is>
          <t>閩南語甲</t>
        </is>
      </c>
      <c r="F14" s="44" t="inlineStr">
        <is>
          <t>原班教室</t>
        </is>
      </c>
      <c r="G14" s="44" t="n"/>
    </row>
    <row r="15" ht="15" customHeight="1" s="36">
      <c r="A15" s="52" t="inlineStr">
        <is>
          <t>3年10班</t>
        </is>
      </c>
      <c r="B15" s="52" t="inlineStr">
        <is>
          <t>五</t>
        </is>
      </c>
      <c r="C15" s="52" t="inlineStr">
        <is>
          <t>1</t>
        </is>
      </c>
      <c r="D15" s="52" t="inlineStr">
        <is>
          <t>閩南語</t>
        </is>
      </c>
      <c r="E15" s="44" t="inlineStr">
        <is>
          <t>閩南語甲</t>
        </is>
      </c>
      <c r="F15" s="44" t="inlineStr">
        <is>
          <t>原班教室</t>
        </is>
      </c>
      <c r="G15" s="44" t="n"/>
    </row>
    <row r="16" ht="15" customHeight="1" s="36">
      <c r="A16" s="52" t="inlineStr">
        <is>
          <t>5年10班</t>
        </is>
      </c>
      <c r="B16" s="52" t="inlineStr">
        <is>
          <t>二</t>
        </is>
      </c>
      <c r="C16" s="52" t="inlineStr">
        <is>
          <t>6</t>
        </is>
      </c>
      <c r="D16" s="52" t="inlineStr">
        <is>
          <t>閩南語</t>
        </is>
      </c>
      <c r="E16" s="44" t="inlineStr">
        <is>
          <t>閩南語甲</t>
        </is>
      </c>
      <c r="F16" s="44" t="inlineStr">
        <is>
          <t>原班教室</t>
        </is>
      </c>
      <c r="G16" s="44" t="n"/>
    </row>
    <row r="17" ht="15" customHeight="1" s="36">
      <c r="A17" s="52" t="inlineStr">
        <is>
          <t>3年1班</t>
        </is>
      </c>
      <c r="B17" s="52" t="inlineStr">
        <is>
          <t>三</t>
        </is>
      </c>
      <c r="C17" s="52" t="inlineStr">
        <is>
          <t>2</t>
        </is>
      </c>
      <c r="D17" s="52" t="inlineStr">
        <is>
          <t>閩南語</t>
        </is>
      </c>
      <c r="E17" s="44" t="inlineStr">
        <is>
          <t>閩南語甲</t>
        </is>
      </c>
      <c r="F17" s="44" t="inlineStr">
        <is>
          <t>原班教室</t>
        </is>
      </c>
      <c r="G17" s="44" t="n"/>
    </row>
    <row r="18" ht="15" customHeight="1" s="36">
      <c r="A18" s="52" t="inlineStr">
        <is>
          <t>1年9班</t>
        </is>
      </c>
      <c r="B18" s="52" t="inlineStr">
        <is>
          <t>三</t>
        </is>
      </c>
      <c r="C18" s="52" t="inlineStr">
        <is>
          <t>4</t>
        </is>
      </c>
      <c r="D18" s="52" t="inlineStr">
        <is>
          <t>閩南語</t>
        </is>
      </c>
      <c r="E18" s="44" t="inlineStr">
        <is>
          <t>閩南語甲</t>
        </is>
      </c>
      <c r="F18" s="44" t="inlineStr">
        <is>
          <t>原班教室</t>
        </is>
      </c>
      <c r="G18" s="44" t="n"/>
    </row>
    <row r="19" ht="15" customHeight="1" s="36">
      <c r="A19" s="52" t="inlineStr">
        <is>
          <t>3年6班</t>
        </is>
      </c>
      <c r="B19" s="52" t="inlineStr">
        <is>
          <t>四</t>
        </is>
      </c>
      <c r="C19" s="52" t="inlineStr">
        <is>
          <t>4</t>
        </is>
      </c>
      <c r="D19" s="52" t="inlineStr">
        <is>
          <t>閩南語</t>
        </is>
      </c>
      <c r="E19" s="44" t="inlineStr">
        <is>
          <t>閩南語甲</t>
        </is>
      </c>
      <c r="F19" s="44" t="inlineStr">
        <is>
          <t>原班教室</t>
        </is>
      </c>
      <c r="G19" s="44" t="n"/>
    </row>
    <row r="20" ht="15" customHeight="1" s="36">
      <c r="A20" s="52" t="inlineStr">
        <is>
          <t>5年7班</t>
        </is>
      </c>
      <c r="B20" s="52" t="inlineStr">
        <is>
          <t>四</t>
        </is>
      </c>
      <c r="C20" s="52" t="inlineStr">
        <is>
          <t>3</t>
        </is>
      </c>
      <c r="D20" s="52" t="inlineStr">
        <is>
          <t>閩南語</t>
        </is>
      </c>
      <c r="E20" s="44" t="inlineStr">
        <is>
          <t>閩南語甲</t>
        </is>
      </c>
      <c r="F20" s="44" t="inlineStr">
        <is>
          <t>原班教室</t>
        </is>
      </c>
      <c r="G20" s="44" t="n"/>
    </row>
    <row r="21" ht="15" customHeight="1" s="36">
      <c r="A21" s="52" t="inlineStr">
        <is>
          <t>6年8班</t>
        </is>
      </c>
      <c r="B21" s="52" t="inlineStr">
        <is>
          <t>一</t>
        </is>
      </c>
      <c r="C21" s="52" t="inlineStr">
        <is>
          <t>6</t>
        </is>
      </c>
      <c r="D21" s="52" t="inlineStr">
        <is>
          <t>閩南語</t>
        </is>
      </c>
      <c r="E21" s="44" t="inlineStr">
        <is>
          <t>閩南語甲</t>
        </is>
      </c>
      <c r="F21" s="44" t="inlineStr">
        <is>
          <t>原班教室</t>
        </is>
      </c>
      <c r="G21" s="44" t="n"/>
    </row>
    <row r="22" ht="15" customHeight="1" s="36">
      <c r="A22" s="52" t="inlineStr">
        <is>
          <t>5年3班</t>
        </is>
      </c>
      <c r="B22" s="52" t="inlineStr">
        <is>
          <t>一</t>
        </is>
      </c>
      <c r="C22" s="52" t="inlineStr">
        <is>
          <t>4</t>
        </is>
      </c>
      <c r="D22" s="52" t="inlineStr">
        <is>
          <t>閩南語</t>
        </is>
      </c>
      <c r="E22" s="44" t="inlineStr">
        <is>
          <t>閩南語甲</t>
        </is>
      </c>
      <c r="F22" s="44" t="inlineStr">
        <is>
          <t>原班教室</t>
        </is>
      </c>
      <c r="G22" s="44" t="n"/>
    </row>
    <row r="23" ht="15" customHeight="1" s="36">
      <c r="A23" s="52" t="inlineStr">
        <is>
          <t>4年4班</t>
        </is>
      </c>
      <c r="B23" s="52" t="inlineStr">
        <is>
          <t>四</t>
        </is>
      </c>
      <c r="C23" s="52" t="inlineStr">
        <is>
          <t>5</t>
        </is>
      </c>
      <c r="D23" s="52" t="inlineStr">
        <is>
          <t>閩南語</t>
        </is>
      </c>
      <c r="E23" s="44" t="inlineStr">
        <is>
          <t>閩南語甲</t>
        </is>
      </c>
      <c r="F23" s="44" t="inlineStr">
        <is>
          <t>原班教室</t>
        </is>
      </c>
      <c r="G23" s="44" t="n"/>
    </row>
    <row r="24" ht="15" customHeight="1" s="36">
      <c r="A24" s="52" t="inlineStr">
        <is>
          <t>2年9班</t>
        </is>
      </c>
      <c r="B24" s="52" t="inlineStr">
        <is>
          <t>二</t>
        </is>
      </c>
      <c r="C24" s="52" t="inlineStr">
        <is>
          <t>2</t>
        </is>
      </c>
      <c r="D24" s="52" t="inlineStr">
        <is>
          <t>閩南語</t>
        </is>
      </c>
      <c r="E24" s="44" t="inlineStr">
        <is>
          <t>閩南語甲</t>
        </is>
      </c>
      <c r="F24" s="44" t="inlineStr">
        <is>
          <t>原班教室</t>
        </is>
      </c>
      <c r="G24" s="44" t="n"/>
    </row>
    <row r="25" ht="15" customHeight="1" s="36">
      <c r="A25" s="52" t="inlineStr">
        <is>
          <t>2年8班</t>
        </is>
      </c>
      <c r="B25" s="52" t="inlineStr">
        <is>
          <t>五</t>
        </is>
      </c>
      <c r="C25" s="52" t="inlineStr">
        <is>
          <t>3</t>
        </is>
      </c>
      <c r="D25" s="52" t="inlineStr">
        <is>
          <t>閩南語</t>
        </is>
      </c>
      <c r="E25" s="44" t="inlineStr">
        <is>
          <t>閩南語甲</t>
        </is>
      </c>
      <c r="F25" s="44" t="inlineStr">
        <is>
          <t>原班教室</t>
        </is>
      </c>
      <c r="G25" s="44" t="n"/>
    </row>
    <row r="26" ht="15" customHeight="1" s="36">
      <c r="A26" s="52" t="inlineStr">
        <is>
          <t>1年6班</t>
        </is>
      </c>
      <c r="B26" s="52" t="inlineStr">
        <is>
          <t>二</t>
        </is>
      </c>
      <c r="C26" s="52" t="inlineStr">
        <is>
          <t>3</t>
        </is>
      </c>
      <c r="D26" s="52" t="inlineStr">
        <is>
          <t>閩南語</t>
        </is>
      </c>
      <c r="E26" s="44" t="inlineStr">
        <is>
          <t>閩南語甲</t>
        </is>
      </c>
      <c r="F26" s="44" t="inlineStr">
        <is>
          <t>原班教室</t>
        </is>
      </c>
      <c r="G26" s="44" t="n"/>
    </row>
    <row r="27" ht="15" customHeight="1" s="36">
      <c r="A27" s="52" t="inlineStr">
        <is>
          <t>5年4班</t>
        </is>
      </c>
      <c r="B27" s="52" t="inlineStr">
        <is>
          <t>五</t>
        </is>
      </c>
      <c r="C27" s="52" t="inlineStr">
        <is>
          <t>5</t>
        </is>
      </c>
      <c r="D27" s="52" t="inlineStr">
        <is>
          <t>閩南語</t>
        </is>
      </c>
      <c r="E27" s="44" t="inlineStr">
        <is>
          <t>閩南語甲</t>
        </is>
      </c>
      <c r="F27" s="44" t="inlineStr">
        <is>
          <t>原班教室</t>
        </is>
      </c>
      <c r="G27" s="44" t="n"/>
    </row>
    <row r="28" ht="15" customHeight="1" s="36">
      <c r="A28" s="52" t="inlineStr">
        <is>
          <t>2年11班</t>
        </is>
      </c>
      <c r="B28" s="52" t="inlineStr">
        <is>
          <t>一</t>
        </is>
      </c>
      <c r="C28" s="52" t="inlineStr">
        <is>
          <t>1</t>
        </is>
      </c>
      <c r="D28" s="52" t="inlineStr">
        <is>
          <t>閩南語</t>
        </is>
      </c>
      <c r="E28" s="44" t="inlineStr">
        <is>
          <t>閩南語乙</t>
        </is>
      </c>
      <c r="F28" s="44" t="inlineStr">
        <is>
          <t>原班教室</t>
        </is>
      </c>
      <c r="G28" s="44" t="n"/>
    </row>
    <row r="29" ht="15" customHeight="1" s="36">
      <c r="A29" s="52" t="inlineStr">
        <is>
          <t>6年6班</t>
        </is>
      </c>
      <c r="B29" s="52" t="inlineStr">
        <is>
          <t>二</t>
        </is>
      </c>
      <c r="C29" s="52" t="inlineStr">
        <is>
          <t>5</t>
        </is>
      </c>
      <c r="D29" s="52" t="inlineStr">
        <is>
          <t>閩南語</t>
        </is>
      </c>
      <c r="E29" s="44" t="inlineStr">
        <is>
          <t>閩南語乙</t>
        </is>
      </c>
      <c r="F29" s="44" t="inlineStr">
        <is>
          <t>原班教室</t>
        </is>
      </c>
      <c r="G29" s="44" t="n"/>
    </row>
    <row r="30" ht="15" customHeight="1" s="36">
      <c r="A30" s="52" t="inlineStr">
        <is>
          <t>6年1班</t>
        </is>
      </c>
      <c r="B30" s="52" t="inlineStr">
        <is>
          <t>五</t>
        </is>
      </c>
      <c r="C30" s="52" t="inlineStr">
        <is>
          <t>1</t>
        </is>
      </c>
      <c r="D30" s="52" t="inlineStr">
        <is>
          <t>閩南語</t>
        </is>
      </c>
      <c r="E30" s="44" t="inlineStr">
        <is>
          <t>閩南語乙</t>
        </is>
      </c>
      <c r="F30" s="44" t="inlineStr">
        <is>
          <t>原班教室</t>
        </is>
      </c>
      <c r="G30" s="44" t="n"/>
    </row>
    <row r="31" ht="15" customHeight="1" s="36">
      <c r="A31" s="52" t="inlineStr">
        <is>
          <t>1年7班</t>
        </is>
      </c>
      <c r="B31" s="52" t="inlineStr">
        <is>
          <t>三</t>
        </is>
      </c>
      <c r="C31" s="52" t="inlineStr">
        <is>
          <t>4</t>
        </is>
      </c>
      <c r="D31" s="52" t="inlineStr">
        <is>
          <t>閩南語</t>
        </is>
      </c>
      <c r="E31" s="44" t="inlineStr">
        <is>
          <t>閩南語乙</t>
        </is>
      </c>
      <c r="F31" s="44" t="inlineStr">
        <is>
          <t>原班教室</t>
        </is>
      </c>
      <c r="G31" s="44" t="n"/>
    </row>
    <row r="32" ht="15" customHeight="1" s="36">
      <c r="A32" s="52" t="inlineStr">
        <is>
          <t>6年4班</t>
        </is>
      </c>
      <c r="B32" s="52" t="inlineStr">
        <is>
          <t>五</t>
        </is>
      </c>
      <c r="C32" s="52" t="inlineStr">
        <is>
          <t>2</t>
        </is>
      </c>
      <c r="D32" s="52" t="inlineStr">
        <is>
          <t>閩南語</t>
        </is>
      </c>
      <c r="E32" s="44" t="inlineStr">
        <is>
          <t>閩南語乙</t>
        </is>
      </c>
      <c r="F32" s="44" t="inlineStr">
        <is>
          <t>原班教室</t>
        </is>
      </c>
      <c r="G32" s="44" t="n"/>
    </row>
    <row r="33" ht="15" customHeight="1" s="36">
      <c r="A33" s="52" t="inlineStr">
        <is>
          <t>3年12班</t>
        </is>
      </c>
      <c r="B33" s="52" t="inlineStr">
        <is>
          <t>五</t>
        </is>
      </c>
      <c r="C33" s="52" t="inlineStr">
        <is>
          <t>3</t>
        </is>
      </c>
      <c r="D33" s="52" t="inlineStr">
        <is>
          <t>閩南語</t>
        </is>
      </c>
      <c r="E33" s="44" t="inlineStr">
        <is>
          <t>閩南語乙</t>
        </is>
      </c>
      <c r="F33" s="44" t="inlineStr">
        <is>
          <t>原班教室</t>
        </is>
      </c>
      <c r="G33" s="44" t="n"/>
    </row>
    <row r="34" ht="15" customHeight="1" s="36">
      <c r="A34" s="52" t="inlineStr">
        <is>
          <t>4年12班</t>
        </is>
      </c>
      <c r="B34" s="52" t="inlineStr">
        <is>
          <t>二</t>
        </is>
      </c>
      <c r="C34" s="52" t="inlineStr">
        <is>
          <t>3</t>
        </is>
      </c>
      <c r="D34" s="52" t="inlineStr">
        <is>
          <t>閩南語</t>
        </is>
      </c>
      <c r="E34" s="44" t="inlineStr">
        <is>
          <t>閩南語乙</t>
        </is>
      </c>
      <c r="F34" s="44" t="inlineStr">
        <is>
          <t>原班教室</t>
        </is>
      </c>
      <c r="G34" s="44" t="n"/>
    </row>
    <row r="35" ht="15" customHeight="1" s="36">
      <c r="A35" s="52" t="inlineStr">
        <is>
          <t>4年7班</t>
        </is>
      </c>
      <c r="B35" s="52" t="inlineStr">
        <is>
          <t>三</t>
        </is>
      </c>
      <c r="C35" s="52" t="inlineStr">
        <is>
          <t>3</t>
        </is>
      </c>
      <c r="D35" s="52" t="inlineStr">
        <is>
          <t>閩南語</t>
        </is>
      </c>
      <c r="E35" s="44" t="inlineStr">
        <is>
          <t>閩南語乙</t>
        </is>
      </c>
      <c r="F35" s="44" t="inlineStr">
        <is>
          <t>原班教室</t>
        </is>
      </c>
      <c r="G35" s="44" t="n"/>
    </row>
    <row r="36" ht="15" customHeight="1" s="36">
      <c r="A36" s="52" t="inlineStr">
        <is>
          <t>3年4班</t>
        </is>
      </c>
      <c r="B36" s="52" t="inlineStr">
        <is>
          <t>四</t>
        </is>
      </c>
      <c r="C36" s="52" t="inlineStr">
        <is>
          <t>6</t>
        </is>
      </c>
      <c r="D36" s="52" t="inlineStr">
        <is>
          <t>閩南語</t>
        </is>
      </c>
      <c r="E36" s="44" t="inlineStr">
        <is>
          <t>閩南語乙</t>
        </is>
      </c>
      <c r="F36" s="44" t="inlineStr">
        <is>
          <t>原班教室</t>
        </is>
      </c>
      <c r="G36" s="44" t="n"/>
    </row>
    <row r="37" ht="15" customHeight="1" s="36">
      <c r="A37" s="52" t="inlineStr">
        <is>
          <t>2年5班</t>
        </is>
      </c>
      <c r="B37" s="52" t="inlineStr">
        <is>
          <t>四</t>
        </is>
      </c>
      <c r="C37" s="52" t="inlineStr">
        <is>
          <t>1</t>
        </is>
      </c>
      <c r="D37" s="52" t="inlineStr">
        <is>
          <t>閩南語</t>
        </is>
      </c>
      <c r="E37" s="44" t="inlineStr">
        <is>
          <t>閩南語乙</t>
        </is>
      </c>
      <c r="F37" s="44" t="inlineStr">
        <is>
          <t>原班教室</t>
        </is>
      </c>
      <c r="G37" s="44" t="n"/>
    </row>
    <row r="38" ht="15" customHeight="1" s="36">
      <c r="A38" s="52" t="inlineStr">
        <is>
          <t>6年9班</t>
        </is>
      </c>
      <c r="B38" s="52" t="inlineStr">
        <is>
          <t>五</t>
        </is>
      </c>
      <c r="C38" s="52" t="inlineStr">
        <is>
          <t>6</t>
        </is>
      </c>
      <c r="D38" s="52" t="inlineStr">
        <is>
          <t>閩南語</t>
        </is>
      </c>
      <c r="E38" s="44" t="inlineStr">
        <is>
          <t>閩南語乙</t>
        </is>
      </c>
      <c r="F38" s="44" t="inlineStr">
        <is>
          <t>原班教室</t>
        </is>
      </c>
      <c r="G38" s="44" t="n"/>
    </row>
    <row r="39" ht="15" customHeight="1" s="36">
      <c r="A39" s="52" t="inlineStr">
        <is>
          <t>2年6班</t>
        </is>
      </c>
      <c r="B39" s="52" t="inlineStr">
        <is>
          <t>五</t>
        </is>
      </c>
      <c r="C39" s="52" t="inlineStr">
        <is>
          <t>4</t>
        </is>
      </c>
      <c r="D39" s="52" t="inlineStr">
        <is>
          <t>閩南語</t>
        </is>
      </c>
      <c r="E39" s="44" t="inlineStr">
        <is>
          <t>閩南語乙</t>
        </is>
      </c>
      <c r="F39" s="44" t="inlineStr">
        <is>
          <t>原班教室</t>
        </is>
      </c>
      <c r="G39" s="44" t="n"/>
    </row>
    <row r="40" ht="15" customHeight="1" s="36">
      <c r="A40" s="52" t="inlineStr">
        <is>
          <t>5年2班</t>
        </is>
      </c>
      <c r="B40" s="52" t="inlineStr">
        <is>
          <t>四</t>
        </is>
      </c>
      <c r="C40" s="52" t="inlineStr">
        <is>
          <t>2</t>
        </is>
      </c>
      <c r="D40" s="52" t="inlineStr">
        <is>
          <t>閩南語</t>
        </is>
      </c>
      <c r="E40" s="44" t="inlineStr">
        <is>
          <t>閩南語乙</t>
        </is>
      </c>
      <c r="F40" s="44" t="inlineStr">
        <is>
          <t>原班教室</t>
        </is>
      </c>
      <c r="G40" s="44" t="n"/>
    </row>
    <row r="41" ht="15" customHeight="1" s="36">
      <c r="A41" s="52" t="inlineStr">
        <is>
          <t>2年10班</t>
        </is>
      </c>
      <c r="B41" s="52" t="inlineStr">
        <is>
          <t>一</t>
        </is>
      </c>
      <c r="C41" s="52" t="inlineStr">
        <is>
          <t>4</t>
        </is>
      </c>
      <c r="D41" s="52" t="inlineStr">
        <is>
          <t>閩南語</t>
        </is>
      </c>
      <c r="E41" s="44" t="inlineStr">
        <is>
          <t>閩南語乙</t>
        </is>
      </c>
      <c r="F41" s="44" t="inlineStr">
        <is>
          <t>原班教室</t>
        </is>
      </c>
      <c r="G41" s="44" t="n"/>
    </row>
    <row r="42" ht="15" customHeight="1" s="36">
      <c r="A42" s="52" t="inlineStr">
        <is>
          <t>4年10班</t>
        </is>
      </c>
      <c r="B42" s="52" t="inlineStr">
        <is>
          <t>二</t>
        </is>
      </c>
      <c r="C42" s="52" t="inlineStr">
        <is>
          <t>4</t>
        </is>
      </c>
      <c r="D42" s="52" t="inlineStr">
        <is>
          <t>閩南語</t>
        </is>
      </c>
      <c r="E42" s="44" t="inlineStr">
        <is>
          <t>閩南語乙</t>
        </is>
      </c>
      <c r="F42" s="44" t="inlineStr">
        <is>
          <t>原班教室</t>
        </is>
      </c>
      <c r="G42" s="44" t="n"/>
    </row>
    <row r="43" ht="15" customHeight="1" s="36">
      <c r="A43" s="52" t="inlineStr">
        <is>
          <t>2年1班</t>
        </is>
      </c>
      <c r="B43" s="52" t="inlineStr">
        <is>
          <t>三</t>
        </is>
      </c>
      <c r="C43" s="52" t="inlineStr">
        <is>
          <t>2</t>
        </is>
      </c>
      <c r="D43" s="52" t="inlineStr">
        <is>
          <t>閩南語</t>
        </is>
      </c>
      <c r="E43" s="44" t="inlineStr">
        <is>
          <t>閩南語乙</t>
        </is>
      </c>
      <c r="F43" s="44" t="inlineStr">
        <is>
          <t>原班教室</t>
        </is>
      </c>
      <c r="G43" s="44" t="n"/>
    </row>
    <row r="44" ht="15" customHeight="1" s="36">
      <c r="A44" s="52" t="inlineStr">
        <is>
          <t>1年1班</t>
        </is>
      </c>
      <c r="B44" s="52" t="inlineStr">
        <is>
          <t>二</t>
        </is>
      </c>
      <c r="C44" s="52" t="inlineStr">
        <is>
          <t>2</t>
        </is>
      </c>
      <c r="D44" s="52" t="inlineStr">
        <is>
          <t>閩南語</t>
        </is>
      </c>
      <c r="E44" s="44" t="inlineStr">
        <is>
          <t>閩南語乙</t>
        </is>
      </c>
      <c r="F44" s="44" t="inlineStr">
        <is>
          <t>原班教室</t>
        </is>
      </c>
      <c r="G44" s="44" t="n"/>
    </row>
    <row r="45" ht="15" customHeight="1" s="36">
      <c r="A45" s="52" t="inlineStr">
        <is>
          <t>3年5班</t>
        </is>
      </c>
      <c r="B45" s="52" t="inlineStr">
        <is>
          <t>一</t>
        </is>
      </c>
      <c r="C45" s="52" t="inlineStr">
        <is>
          <t>3</t>
        </is>
      </c>
      <c r="D45" s="52" t="inlineStr">
        <is>
          <t>閩南語</t>
        </is>
      </c>
      <c r="E45" s="44" t="inlineStr">
        <is>
          <t>閩南語乙</t>
        </is>
      </c>
      <c r="F45" s="44" t="inlineStr">
        <is>
          <t>原班教室</t>
        </is>
      </c>
      <c r="G45" s="44" t="n"/>
    </row>
    <row r="46" ht="15" customHeight="1" s="36">
      <c r="A46" s="52" t="inlineStr">
        <is>
          <t>4年6班</t>
        </is>
      </c>
      <c r="B46" s="52" t="inlineStr">
        <is>
          <t>二</t>
        </is>
      </c>
      <c r="C46" s="52" t="inlineStr">
        <is>
          <t>1</t>
        </is>
      </c>
      <c r="D46" s="52" t="inlineStr">
        <is>
          <t>閩南語</t>
        </is>
      </c>
      <c r="E46" s="44" t="inlineStr">
        <is>
          <t>閩南語乙</t>
        </is>
      </c>
      <c r="F46" s="44" t="inlineStr">
        <is>
          <t>原班教室</t>
        </is>
      </c>
      <c r="G46" s="44" t="n"/>
    </row>
    <row r="47" ht="15" customHeight="1" s="36">
      <c r="A47" s="52" t="inlineStr">
        <is>
          <t>4年11班</t>
        </is>
      </c>
      <c r="B47" s="52" t="inlineStr">
        <is>
          <t>五</t>
        </is>
      </c>
      <c r="C47" s="52" t="inlineStr">
        <is>
          <t>5</t>
        </is>
      </c>
      <c r="D47" s="52" t="inlineStr">
        <is>
          <t>閩南語</t>
        </is>
      </c>
      <c r="E47" s="44" t="inlineStr">
        <is>
          <t>閩南語乙</t>
        </is>
      </c>
      <c r="F47" s="44" t="inlineStr">
        <is>
          <t>原班教室</t>
        </is>
      </c>
      <c r="G47" s="44" t="n"/>
    </row>
    <row r="48" ht="15" customHeight="1" s="36">
      <c r="A48" s="52" t="inlineStr">
        <is>
          <t>2年2班</t>
        </is>
      </c>
      <c r="B48" s="52" t="inlineStr">
        <is>
          <t>一</t>
        </is>
      </c>
      <c r="C48" s="52" t="inlineStr">
        <is>
          <t>2</t>
        </is>
      </c>
      <c r="D48" s="52" t="inlineStr">
        <is>
          <t>閩南語</t>
        </is>
      </c>
      <c r="E48" s="44" t="inlineStr">
        <is>
          <t>閩南語乙</t>
        </is>
      </c>
      <c r="F48" s="44" t="inlineStr">
        <is>
          <t>原班教室</t>
        </is>
      </c>
      <c r="G48" s="44" t="n"/>
    </row>
    <row r="49" ht="15" customHeight="1" s="36">
      <c r="A49" s="52" t="inlineStr">
        <is>
          <t>3年11班</t>
        </is>
      </c>
      <c r="B49" s="52" t="inlineStr">
        <is>
          <t>四</t>
        </is>
      </c>
      <c r="C49" s="52" t="inlineStr">
        <is>
          <t>3</t>
        </is>
      </c>
      <c r="D49" s="52" t="inlineStr">
        <is>
          <t>閩南語</t>
        </is>
      </c>
      <c r="E49" s="44" t="inlineStr">
        <is>
          <t>閩南語乙</t>
        </is>
      </c>
      <c r="F49" s="44" t="inlineStr">
        <is>
          <t>原班教室</t>
        </is>
      </c>
      <c r="G49" s="44" t="n"/>
    </row>
    <row r="50" ht="15" customHeight="1" s="36">
      <c r="A50" s="52" t="inlineStr">
        <is>
          <t>5年11班</t>
        </is>
      </c>
      <c r="B50" s="52" t="inlineStr">
        <is>
          <t>一</t>
        </is>
      </c>
      <c r="C50" s="52" t="inlineStr">
        <is>
          <t>4</t>
        </is>
      </c>
      <c r="D50" s="52" t="inlineStr">
        <is>
          <t>閩南語</t>
        </is>
      </c>
      <c r="E50" s="44" t="inlineStr">
        <is>
          <t>閩南語丙</t>
        </is>
      </c>
      <c r="F50" s="44" t="inlineStr">
        <is>
          <t>原班教室</t>
        </is>
      </c>
      <c r="G50" s="44" t="n"/>
    </row>
    <row r="51" ht="15" customHeight="1" s="36">
      <c r="A51" s="52" t="inlineStr">
        <is>
          <t>5年8班</t>
        </is>
      </c>
      <c r="B51" s="52" t="inlineStr">
        <is>
          <t>四</t>
        </is>
      </c>
      <c r="C51" s="52" t="inlineStr">
        <is>
          <t>3</t>
        </is>
      </c>
      <c r="D51" s="52" t="inlineStr">
        <is>
          <t>閩南語</t>
        </is>
      </c>
      <c r="E51" s="44" t="inlineStr">
        <is>
          <t>閩南語丙</t>
        </is>
      </c>
      <c r="F51" s="44" t="inlineStr">
        <is>
          <t>原班教室</t>
        </is>
      </c>
      <c r="G51" s="44" t="n"/>
    </row>
    <row r="52" ht="15" customHeight="1" s="36">
      <c r="A52" s="52" t="inlineStr">
        <is>
          <t>1年11班</t>
        </is>
      </c>
      <c r="B52" s="52" t="inlineStr">
        <is>
          <t>二</t>
        </is>
      </c>
      <c r="C52" s="52" t="inlineStr">
        <is>
          <t>5</t>
        </is>
      </c>
      <c r="D52" s="52" t="inlineStr">
        <is>
          <t>閩南語</t>
        </is>
      </c>
      <c r="E52" s="44" t="inlineStr">
        <is>
          <t>閩南語丙</t>
        </is>
      </c>
      <c r="F52" s="44" t="inlineStr">
        <is>
          <t>原班教室</t>
        </is>
      </c>
      <c r="G52" s="44" t="n"/>
    </row>
    <row r="53" ht="15" customHeight="1" s="36">
      <c r="A53" s="52" t="inlineStr">
        <is>
          <t>2年4班</t>
        </is>
      </c>
      <c r="B53" s="52" t="inlineStr">
        <is>
          <t>五</t>
        </is>
      </c>
      <c r="C53" s="52" t="inlineStr">
        <is>
          <t>2</t>
        </is>
      </c>
      <c r="D53" s="52" t="inlineStr">
        <is>
          <t>閩南語</t>
        </is>
      </c>
      <c r="E53" s="44" t="inlineStr">
        <is>
          <t>閩南語丙</t>
        </is>
      </c>
      <c r="F53" s="44" t="inlineStr">
        <is>
          <t>原班教室</t>
        </is>
      </c>
      <c r="G53" s="44" t="n"/>
    </row>
    <row r="54" ht="15" customHeight="1" s="36">
      <c r="A54" s="52" t="inlineStr">
        <is>
          <t>6年7班</t>
        </is>
      </c>
      <c r="B54" s="52" t="inlineStr">
        <is>
          <t>五</t>
        </is>
      </c>
      <c r="C54" s="52" t="inlineStr">
        <is>
          <t>3</t>
        </is>
      </c>
      <c r="D54" s="52" t="inlineStr">
        <is>
          <t>閩南語</t>
        </is>
      </c>
      <c r="E54" s="44" t="inlineStr">
        <is>
          <t>閩南語丙</t>
        </is>
      </c>
      <c r="F54" s="44" t="inlineStr">
        <is>
          <t>原班教室</t>
        </is>
      </c>
      <c r="G54" s="44" t="n"/>
    </row>
    <row r="55" ht="15" customHeight="1" s="36">
      <c r="A55" s="52" t="inlineStr">
        <is>
          <t>5年1班</t>
        </is>
      </c>
      <c r="B55" s="52" t="inlineStr">
        <is>
          <t>一</t>
        </is>
      </c>
      <c r="C55" s="52" t="inlineStr">
        <is>
          <t>2</t>
        </is>
      </c>
      <c r="D55" s="52" t="inlineStr">
        <is>
          <t>閩南語</t>
        </is>
      </c>
      <c r="E55" s="44" t="inlineStr">
        <is>
          <t>閩南語丙</t>
        </is>
      </c>
      <c r="F55" s="44" t="inlineStr">
        <is>
          <t>原班教室</t>
        </is>
      </c>
      <c r="G55" s="44" t="n"/>
    </row>
    <row r="56" ht="15" customHeight="1" s="36">
      <c r="A56" s="52" t="inlineStr">
        <is>
          <t>3年9班</t>
        </is>
      </c>
      <c r="B56" s="52" t="inlineStr">
        <is>
          <t>二</t>
        </is>
      </c>
      <c r="C56" s="52" t="inlineStr">
        <is>
          <t>3</t>
        </is>
      </c>
      <c r="D56" s="52" t="inlineStr">
        <is>
          <t>閩南語</t>
        </is>
      </c>
      <c r="E56" s="44" t="inlineStr">
        <is>
          <t>閩南語丙</t>
        </is>
      </c>
      <c r="F56" s="44" t="inlineStr">
        <is>
          <t>原班教室</t>
        </is>
      </c>
      <c r="G56" s="44" t="n"/>
    </row>
    <row r="57" ht="15" customHeight="1" s="36">
      <c r="A57" s="52" t="inlineStr">
        <is>
          <t>1年12班</t>
        </is>
      </c>
      <c r="B57" s="52" t="inlineStr">
        <is>
          <t>一</t>
        </is>
      </c>
      <c r="C57" s="52" t="inlineStr">
        <is>
          <t>3</t>
        </is>
      </c>
      <c r="D57" s="52" t="inlineStr">
        <is>
          <t>閩南語</t>
        </is>
      </c>
      <c r="E57" s="44" t="inlineStr">
        <is>
          <t>閩南語丙</t>
        </is>
      </c>
      <c r="F57" s="44" t="inlineStr">
        <is>
          <t>原班教室</t>
        </is>
      </c>
      <c r="G57" s="44" t="n"/>
    </row>
    <row r="58" ht="15" customHeight="1" s="36">
      <c r="A58" s="52" t="inlineStr">
        <is>
          <t>5年5班</t>
        </is>
      </c>
      <c r="B58" s="52" t="inlineStr">
        <is>
          <t>四</t>
        </is>
      </c>
      <c r="C58" s="52" t="inlineStr">
        <is>
          <t>4</t>
        </is>
      </c>
      <c r="D58" s="52" t="inlineStr">
        <is>
          <t>閩南語</t>
        </is>
      </c>
      <c r="E58" s="44" t="inlineStr">
        <is>
          <t>閩南語丙</t>
        </is>
      </c>
      <c r="F58" s="44" t="inlineStr">
        <is>
          <t>原班教室</t>
        </is>
      </c>
      <c r="G58" s="44" t="n"/>
    </row>
    <row r="59" ht="15" customHeight="1" s="36">
      <c r="A59" s="52" t="inlineStr">
        <is>
          <t>5年6班</t>
        </is>
      </c>
      <c r="B59" s="52" t="inlineStr">
        <is>
          <t>五</t>
        </is>
      </c>
      <c r="C59" s="52" t="inlineStr">
        <is>
          <t>6</t>
        </is>
      </c>
      <c r="D59" s="52" t="inlineStr">
        <is>
          <t>閩南語</t>
        </is>
      </c>
      <c r="E59" s="44" t="inlineStr">
        <is>
          <t>閩南語丙</t>
        </is>
      </c>
      <c r="F59" s="44" t="inlineStr">
        <is>
          <t>原班教室</t>
        </is>
      </c>
      <c r="G59" s="44" t="n"/>
    </row>
    <row r="60" ht="15" customHeight="1" s="36">
      <c r="A60" s="52" t="inlineStr">
        <is>
          <t>2年7班</t>
        </is>
      </c>
      <c r="B60" s="52" t="inlineStr">
        <is>
          <t>二</t>
        </is>
      </c>
      <c r="C60" s="52" t="inlineStr">
        <is>
          <t>4</t>
        </is>
      </c>
      <c r="D60" s="52" t="inlineStr">
        <is>
          <t>閩南語</t>
        </is>
      </c>
      <c r="E60" s="44" t="inlineStr">
        <is>
          <t>閩南語丙</t>
        </is>
      </c>
      <c r="F60" s="44" t="inlineStr">
        <is>
          <t>原班教室</t>
        </is>
      </c>
      <c r="G60" s="44" t="n"/>
    </row>
    <row r="61" ht="15" customHeight="1" s="36">
      <c r="A61" s="52" t="inlineStr">
        <is>
          <t>1年3班</t>
        </is>
      </c>
      <c r="B61" s="52" t="inlineStr">
        <is>
          <t>二</t>
        </is>
      </c>
      <c r="C61" s="52" t="inlineStr">
        <is>
          <t>6</t>
        </is>
      </c>
      <c r="D61" s="52" t="inlineStr">
        <is>
          <t>閩南語</t>
        </is>
      </c>
      <c r="E61" s="44" t="inlineStr">
        <is>
          <t>閩南語丙</t>
        </is>
      </c>
      <c r="F61" s="44" t="inlineStr">
        <is>
          <t>原班教室</t>
        </is>
      </c>
      <c r="G61" s="44" t="n"/>
    </row>
    <row r="62" ht="15" customHeight="1" s="36">
      <c r="A62" s="52" t="inlineStr">
        <is>
          <t>5年12班</t>
        </is>
      </c>
      <c r="B62" s="52" t="inlineStr">
        <is>
          <t>一</t>
        </is>
      </c>
      <c r="C62" s="52" t="inlineStr">
        <is>
          <t>1</t>
        </is>
      </c>
      <c r="D62" s="52" t="inlineStr">
        <is>
          <t>閩南語</t>
        </is>
      </c>
      <c r="E62" s="44" t="inlineStr">
        <is>
          <t>閩南語丙</t>
        </is>
      </c>
      <c r="F62" s="44" t="inlineStr">
        <is>
          <t>原班教室</t>
        </is>
      </c>
      <c r="G62" s="44" t="n"/>
    </row>
    <row r="63" ht="15" customHeight="1" s="36">
      <c r="A63" s="52" t="inlineStr">
        <is>
          <t>1年10班</t>
        </is>
      </c>
      <c r="B63" s="52" t="inlineStr">
        <is>
          <t>四</t>
        </is>
      </c>
      <c r="C63" s="52" t="inlineStr">
        <is>
          <t>2</t>
        </is>
      </c>
      <c r="D63" s="52" t="inlineStr">
        <is>
          <t>閩南語</t>
        </is>
      </c>
      <c r="E63" s="44" t="inlineStr">
        <is>
          <t>閩南語丙</t>
        </is>
      </c>
      <c r="F63" s="44" t="inlineStr">
        <is>
          <t>原班教室</t>
        </is>
      </c>
      <c r="G63" s="44" t="n"/>
    </row>
    <row r="64" ht="15" customHeight="1" s="36">
      <c r="A64" s="52" t="inlineStr">
        <is>
          <t>6年2班</t>
        </is>
      </c>
      <c r="B64" s="52" t="inlineStr">
        <is>
          <t>一</t>
        </is>
      </c>
      <c r="C64" s="52" t="inlineStr">
        <is>
          <t>6</t>
        </is>
      </c>
      <c r="D64" s="52" t="inlineStr">
        <is>
          <t>閩南語</t>
        </is>
      </c>
      <c r="E64" s="44" t="inlineStr">
        <is>
          <t>閩南語丙</t>
        </is>
      </c>
      <c r="F64" s="44" t="inlineStr">
        <is>
          <t>原班教室</t>
        </is>
      </c>
      <c r="G64" s="44" t="n"/>
    </row>
    <row r="65" ht="15" customHeight="1" s="36">
      <c r="A65" s="52" t="inlineStr">
        <is>
          <t>4年1班</t>
        </is>
      </c>
      <c r="B65" s="52" t="inlineStr">
        <is>
          <t>五</t>
        </is>
      </c>
      <c r="C65" s="52" t="inlineStr">
        <is>
          <t>5</t>
        </is>
      </c>
      <c r="D65" s="52" t="inlineStr">
        <is>
          <t>閩南語</t>
        </is>
      </c>
      <c r="E65" s="44" t="inlineStr">
        <is>
          <t>閩南語丙</t>
        </is>
      </c>
      <c r="F65" s="44" t="inlineStr">
        <is>
          <t>原班教室</t>
        </is>
      </c>
      <c r="G65" s="44" t="n"/>
    </row>
    <row r="66" ht="15" customHeight="1" s="36">
      <c r="A66" s="52" t="inlineStr">
        <is>
          <t>1年4班</t>
        </is>
      </c>
      <c r="B66" s="52" t="inlineStr">
        <is>
          <t>五</t>
        </is>
      </c>
      <c r="C66" s="52" t="inlineStr">
        <is>
          <t>4</t>
        </is>
      </c>
      <c r="D66" s="52" t="inlineStr">
        <is>
          <t>閩南語</t>
        </is>
      </c>
      <c r="E66" s="44" t="inlineStr">
        <is>
          <t>閩南語丙</t>
        </is>
      </c>
      <c r="F66" s="44" t="inlineStr">
        <is>
          <t>原班教室</t>
        </is>
      </c>
      <c r="G66" s="44" t="n"/>
    </row>
    <row r="67" ht="15" customHeight="1" s="36">
      <c r="A67" s="52" t="inlineStr">
        <is>
          <t>3年8班</t>
        </is>
      </c>
      <c r="B67" s="52" t="inlineStr">
        <is>
          <t>二</t>
        </is>
      </c>
      <c r="C67" s="52" t="inlineStr">
        <is>
          <t>2</t>
        </is>
      </c>
      <c r="D67" s="52" t="inlineStr">
        <is>
          <t>閩南語</t>
        </is>
      </c>
      <c r="E67" s="44" t="inlineStr">
        <is>
          <t>閩南語丙</t>
        </is>
      </c>
      <c r="F67" s="44" t="inlineStr">
        <is>
          <t>原班教室</t>
        </is>
      </c>
      <c r="G67" s="44" t="n"/>
    </row>
    <row r="68" ht="15" customHeight="1" s="36">
      <c r="A68" s="52" t="inlineStr">
        <is>
          <t>4年9班</t>
        </is>
      </c>
      <c r="B68" s="52" t="inlineStr">
        <is>
          <t>三</t>
        </is>
      </c>
      <c r="C68" s="52" t="inlineStr">
        <is>
          <t>4</t>
        </is>
      </c>
      <c r="D68" s="52" t="inlineStr">
        <is>
          <t>閩南語</t>
        </is>
      </c>
      <c r="E68" s="44" t="inlineStr">
        <is>
          <t>閩南語丙</t>
        </is>
      </c>
      <c r="F68" s="44" t="inlineStr">
        <is>
          <t>原班教室</t>
        </is>
      </c>
      <c r="G68" s="44" t="n"/>
    </row>
    <row r="69" ht="15" customHeight="1" s="36">
      <c r="A69" s="52" t="inlineStr">
        <is>
          <t>6年12班</t>
        </is>
      </c>
      <c r="B69" s="52" t="inlineStr">
        <is>
          <t>一</t>
        </is>
      </c>
      <c r="C69" s="52" t="inlineStr">
        <is>
          <t>5</t>
        </is>
      </c>
      <c r="D69" s="52" t="inlineStr">
        <is>
          <t>閩南語</t>
        </is>
      </c>
      <c r="E69" s="44" t="inlineStr">
        <is>
          <t>閩南語丙</t>
        </is>
      </c>
      <c r="F69" s="44" t="inlineStr">
        <is>
          <t>原班教室</t>
        </is>
      </c>
      <c r="G69" s="44" t="n"/>
    </row>
    <row r="70" ht="15" customHeight="1" s="36">
      <c r="A70" s="52" t="inlineStr">
        <is>
          <t>4年3班</t>
        </is>
      </c>
      <c r="B70" s="52" t="inlineStr">
        <is>
          <t>五</t>
        </is>
      </c>
      <c r="C70" s="52" t="inlineStr">
        <is>
          <t>1</t>
        </is>
      </c>
      <c r="D70" s="52" t="inlineStr">
        <is>
          <t>閩南語</t>
        </is>
      </c>
      <c r="E70" s="44" t="inlineStr">
        <is>
          <t>閩南語丙</t>
        </is>
      </c>
      <c r="F70" s="44" t="inlineStr">
        <is>
          <t>原班教室</t>
        </is>
      </c>
      <c r="G70" s="44" t="n"/>
    </row>
    <row r="71" ht="15" customHeight="1" s="36">
      <c r="A71" s="52" t="inlineStr">
        <is>
          <t>4年8班</t>
        </is>
      </c>
      <c r="B71" s="52" t="inlineStr">
        <is>
          <t>二</t>
        </is>
      </c>
      <c r="C71" s="52" t="inlineStr">
        <is>
          <t>6</t>
        </is>
      </c>
      <c r="D71" s="52" t="inlineStr">
        <is>
          <t>閩南語</t>
        </is>
      </c>
      <c r="E71" s="44" t="inlineStr">
        <is>
          <t>閩南語丁</t>
        </is>
      </c>
      <c r="F71" s="44" t="inlineStr">
        <is>
          <t>原班教室</t>
        </is>
      </c>
      <c r="G71" s="44" t="n"/>
    </row>
    <row r="72" ht="15" customHeight="1" s="36">
      <c r="A72" s="52" t="inlineStr">
        <is>
          <t>6年10班</t>
        </is>
      </c>
      <c r="B72" s="52" t="inlineStr">
        <is>
          <t>一</t>
        </is>
      </c>
      <c r="C72" s="52" t="inlineStr">
        <is>
          <t>6</t>
        </is>
      </c>
      <c r="D72" s="52" t="inlineStr">
        <is>
          <t>閩南語</t>
        </is>
      </c>
      <c r="E72" s="44" t="inlineStr">
        <is>
          <t>閩南語丁</t>
        </is>
      </c>
      <c r="F72" s="44" t="inlineStr">
        <is>
          <t>原班教室</t>
        </is>
      </c>
      <c r="G72" s="44" t="n"/>
    </row>
    <row r="73" ht="15" customHeight="1" s="36">
      <c r="A73" s="52" t="inlineStr">
        <is>
          <t>2年3班</t>
        </is>
      </c>
      <c r="B73" s="52" t="inlineStr">
        <is>
          <t>五</t>
        </is>
      </c>
      <c r="C73" s="52" t="inlineStr">
        <is>
          <t>3</t>
        </is>
      </c>
      <c r="D73" s="52" t="inlineStr">
        <is>
          <t>閩南語</t>
        </is>
      </c>
      <c r="E73" s="44" t="inlineStr">
        <is>
          <t>閩南語丁</t>
        </is>
      </c>
      <c r="F73" s="44" t="inlineStr">
        <is>
          <t>原班教室</t>
        </is>
      </c>
      <c r="G73" s="44" t="n"/>
    </row>
    <row r="74" ht="15" customHeight="1" s="36">
      <c r="A74" s="52" t="inlineStr">
        <is>
          <t>3年3班</t>
        </is>
      </c>
      <c r="B74" s="52" t="inlineStr">
        <is>
          <t>一</t>
        </is>
      </c>
      <c r="C74" s="52" t="inlineStr">
        <is>
          <t>4</t>
        </is>
      </c>
      <c r="D74" s="52" t="inlineStr">
        <is>
          <t>閩南語</t>
        </is>
      </c>
      <c r="E74" s="44" t="inlineStr">
        <is>
          <t>英語乙</t>
        </is>
      </c>
      <c r="F74" s="44" t="inlineStr">
        <is>
          <t>原班教室</t>
        </is>
      </c>
      <c r="G74" s="44" t="inlineStr">
        <is>
          <t>（試跑）科任兼本土語</t>
        </is>
      </c>
    </row>
    <row r="75" ht="15" customHeight="1" s="36">
      <c r="A75" s="52" t="inlineStr">
        <is>
          <t>4年2班</t>
        </is>
      </c>
      <c r="B75" s="52" t="inlineStr">
        <is>
          <t>一</t>
        </is>
      </c>
      <c r="C75" s="52" t="inlineStr">
        <is>
          <t>1</t>
        </is>
      </c>
      <c r="D75" s="52" t="inlineStr">
        <is>
          <t>閩南語</t>
        </is>
      </c>
      <c r="E75" s="44" t="inlineStr">
        <is>
          <t>英語乙</t>
        </is>
      </c>
      <c r="F75" s="44" t="inlineStr">
        <is>
          <t>原班教室</t>
        </is>
      </c>
      <c r="G75" s="44" t="inlineStr">
        <is>
          <t>（試跑）科任兼本土語</t>
        </is>
      </c>
    </row>
    <row r="76" ht="15" customHeight="1" s="36">
      <c r="A76" s="52" t="inlineStr">
        <is>
          <t>4年6班</t>
        </is>
      </c>
      <c r="B76" s="52" t="inlineStr">
        <is>
          <t>二</t>
        </is>
      </c>
      <c r="C76" s="52" t="inlineStr">
        <is>
          <t>1</t>
        </is>
      </c>
      <c r="D76" s="52" t="inlineStr">
        <is>
          <t>客語</t>
        </is>
      </c>
      <c r="E76" s="44" t="inlineStr">
        <is>
          <t>客語甲</t>
        </is>
      </c>
      <c r="F76" s="44" t="inlineStr">
        <is>
          <t>本土語教室</t>
        </is>
      </c>
      <c r="G76" s="44" t="inlineStr">
        <is>
          <t>分組上課</t>
        </is>
      </c>
    </row>
    <row r="77" ht="15" customHeight="1" s="36">
      <c r="A77" s="52" t="inlineStr">
        <is>
          <t>3年7班</t>
        </is>
      </c>
      <c r="B77" s="52" t="inlineStr">
        <is>
          <t>五</t>
        </is>
      </c>
      <c r="C77" s="52" t="inlineStr">
        <is>
          <t>2</t>
        </is>
      </c>
      <c r="D77" s="52" t="inlineStr">
        <is>
          <t>族語</t>
        </is>
      </c>
      <c r="E77" s="44" t="inlineStr">
        <is>
          <t>族語甲</t>
        </is>
      </c>
      <c r="F77" s="44" t="inlineStr">
        <is>
          <t>本土語教室</t>
        </is>
      </c>
      <c r="G77" s="44" t="inlineStr">
        <is>
          <t>分組上課</t>
        </is>
      </c>
    </row>
    <row r="78" ht="15" customHeight="1" s="36">
      <c r="A78" s="52" t="inlineStr">
        <is>
          <t>6年7班</t>
        </is>
      </c>
      <c r="B78" s="52" t="inlineStr">
        <is>
          <t>五</t>
        </is>
      </c>
      <c r="C78" s="52" t="inlineStr">
        <is>
          <t>3</t>
        </is>
      </c>
      <c r="D78" s="52" t="inlineStr">
        <is>
          <t>客語</t>
        </is>
      </c>
      <c r="E78" s="44" t="inlineStr">
        <is>
          <t>客語甲</t>
        </is>
      </c>
      <c r="F78" s="44" t="inlineStr">
        <is>
          <t>本土語教室</t>
        </is>
      </c>
      <c r="G78" s="44" t="inlineStr">
        <is>
          <t>分組上課</t>
        </is>
      </c>
    </row>
    <row r="79" ht="15" customHeight="1" s="36">
      <c r="A79" s="52" t="inlineStr">
        <is>
          <t>5年10班</t>
        </is>
      </c>
      <c r="B79" s="52" t="inlineStr">
        <is>
          <t>二</t>
        </is>
      </c>
      <c r="C79" s="52" t="inlineStr">
        <is>
          <t>6</t>
        </is>
      </c>
      <c r="D79" s="52" t="inlineStr">
        <is>
          <t>客語</t>
        </is>
      </c>
      <c r="E79" s="44" t="inlineStr">
        <is>
          <t>客語甲</t>
        </is>
      </c>
      <c r="F79" s="44" t="inlineStr">
        <is>
          <t>本土語教室</t>
        </is>
      </c>
      <c r="G79" s="44" t="inlineStr">
        <is>
          <t>分組上課</t>
        </is>
      </c>
    </row>
    <row r="80" ht="15" customHeight="1" s="36">
      <c r="A80" s="52" t="inlineStr">
        <is>
          <t>4年12班</t>
        </is>
      </c>
      <c r="B80" s="52" t="inlineStr">
        <is>
          <t>二</t>
        </is>
      </c>
      <c r="C80" s="52" t="inlineStr">
        <is>
          <t>3</t>
        </is>
      </c>
      <c r="D80" s="52" t="inlineStr">
        <is>
          <t>族語</t>
        </is>
      </c>
      <c r="E80" s="44" t="inlineStr">
        <is>
          <t>族語甲</t>
        </is>
      </c>
      <c r="F80" s="44" t="inlineStr">
        <is>
          <t>本土語教室</t>
        </is>
      </c>
      <c r="G80" s="44" t="inlineStr">
        <is>
          <t>分組上課</t>
        </is>
      </c>
    </row>
    <row r="81" ht="15" customHeight="1" s="36">
      <c r="A81" s="52" t="inlineStr">
        <is>
          <t>3年6班</t>
        </is>
      </c>
      <c r="B81" s="52" t="inlineStr">
        <is>
          <t>四</t>
        </is>
      </c>
      <c r="C81" s="52" t="inlineStr">
        <is>
          <t>4</t>
        </is>
      </c>
      <c r="D81" s="52" t="inlineStr">
        <is>
          <t>族語</t>
        </is>
      </c>
      <c r="E81" s="44" t="inlineStr">
        <is>
          <t>族語甲</t>
        </is>
      </c>
      <c r="F81" s="44" t="inlineStr">
        <is>
          <t>本土語教室</t>
        </is>
      </c>
      <c r="G81" s="44" t="inlineStr">
        <is>
          <t>分組上課</t>
        </is>
      </c>
    </row>
    <row r="82" ht="15" customHeight="1" s="36">
      <c r="A82" s="52" t="inlineStr">
        <is>
          <t>4年7班</t>
        </is>
      </c>
      <c r="B82" s="52" t="inlineStr">
        <is>
          <t>三</t>
        </is>
      </c>
      <c r="C82" s="52" t="inlineStr">
        <is>
          <t>3</t>
        </is>
      </c>
      <c r="D82" s="52" t="inlineStr">
        <is>
          <t>新住民語</t>
        </is>
      </c>
      <c r="E82" s="44" t="inlineStr">
        <is>
          <t>新住民語甲</t>
        </is>
      </c>
      <c r="F82" s="44" t="inlineStr">
        <is>
          <t>本土語教室</t>
        </is>
      </c>
      <c r="G82" s="44" t="inlineStr">
        <is>
          <t>分組上課</t>
        </is>
      </c>
    </row>
    <row r="83" ht="15" customHeight="1" s="36">
      <c r="A83" s="52" t="inlineStr">
        <is>
          <t>3年11班</t>
        </is>
      </c>
      <c r="B83" s="52" t="inlineStr">
        <is>
          <t>四</t>
        </is>
      </c>
      <c r="C83" s="52" t="inlineStr">
        <is>
          <t>3</t>
        </is>
      </c>
      <c r="D83" s="52" t="inlineStr">
        <is>
          <t>族語</t>
        </is>
      </c>
      <c r="E83" s="44" t="inlineStr">
        <is>
          <t>族語甲</t>
        </is>
      </c>
      <c r="F83" s="44" t="inlineStr">
        <is>
          <t>本土語教室</t>
        </is>
      </c>
      <c r="G83" s="44" t="inlineStr">
        <is>
          <t>分組上課</t>
        </is>
      </c>
    </row>
    <row r="84" ht="15" customHeight="1" s="36">
      <c r="A84" s="52" t="inlineStr">
        <is>
          <t>1年10班</t>
        </is>
      </c>
      <c r="B84" s="52" t="inlineStr">
        <is>
          <t>四</t>
        </is>
      </c>
      <c r="C84" s="52" t="inlineStr">
        <is>
          <t>2</t>
        </is>
      </c>
      <c r="D84" s="52" t="inlineStr">
        <is>
          <t>新住民語</t>
        </is>
      </c>
      <c r="E84" s="44" t="inlineStr">
        <is>
          <t>新住民語甲</t>
        </is>
      </c>
      <c r="F84" s="44" t="inlineStr">
        <is>
          <t>本土語教室</t>
        </is>
      </c>
      <c r="G84" s="44" t="inlineStr">
        <is>
          <t>分組上課</t>
        </is>
      </c>
    </row>
    <row r="85" ht="15" customHeight="1" s="36">
      <c r="A85" s="52" t="inlineStr">
        <is>
          <t>1年6班</t>
        </is>
      </c>
      <c r="B85" s="52" t="inlineStr">
        <is>
          <t>二</t>
        </is>
      </c>
      <c r="C85" s="52" t="inlineStr">
        <is>
          <t>3</t>
        </is>
      </c>
      <c r="D85" s="52" t="inlineStr">
        <is>
          <t>客語</t>
        </is>
      </c>
      <c r="E85" s="44" t="inlineStr">
        <is>
          <t>客語甲</t>
        </is>
      </c>
      <c r="F85" s="44" t="inlineStr">
        <is>
          <t>本土語教室</t>
        </is>
      </c>
      <c r="G85" s="44" t="inlineStr">
        <is>
          <t>分組上課</t>
        </is>
      </c>
    </row>
    <row r="86" ht="15" customHeight="1" s="36">
      <c r="A86" s="52" t="n"/>
      <c r="B86" s="52" t="n"/>
      <c r="C86" s="52" t="n"/>
      <c r="D86" s="52" t="n"/>
      <c r="E86" s="44" t="n"/>
      <c r="F86" s="44" t="n"/>
      <c r="G86" s="44" t="n"/>
    </row>
    <row r="87" ht="15" customHeight="1" s="36">
      <c r="A87" s="52" t="n"/>
      <c r="B87" s="52" t="n"/>
      <c r="C87" s="52" t="n"/>
      <c r="D87" s="52" t="n"/>
      <c r="E87" s="44" t="n"/>
      <c r="F87" s="44" t="n"/>
      <c r="G87" s="44" t="n"/>
    </row>
    <row r="88" ht="15" customHeight="1" s="36">
      <c r="A88" s="52" t="n"/>
      <c r="B88" s="52" t="n"/>
      <c r="C88" s="52" t="n"/>
      <c r="D88" s="52" t="n"/>
      <c r="E88" s="44" t="n"/>
      <c r="F88" s="44" t="n"/>
      <c r="G88" s="44" t="n"/>
    </row>
    <row r="89" ht="15" customHeight="1" s="36">
      <c r="A89" s="52" t="n"/>
      <c r="B89" s="52" t="n"/>
      <c r="C89" s="52" t="n"/>
      <c r="D89" s="52" t="n"/>
      <c r="E89" s="44" t="n"/>
      <c r="F89" s="44" t="n"/>
      <c r="G89" s="44" t="n"/>
    </row>
    <row r="90" ht="15" customHeight="1" s="36">
      <c r="A90" s="52" t="n"/>
      <c r="B90" s="52" t="n"/>
      <c r="C90" s="52" t="n"/>
      <c r="D90" s="52" t="n"/>
      <c r="E90" s="44" t="n"/>
      <c r="F90" s="44" t="n"/>
      <c r="G90" s="44" t="n"/>
    </row>
    <row r="91" ht="15" customHeight="1" s="36">
      <c r="A91" s="52" t="n"/>
      <c r="B91" s="52" t="n"/>
      <c r="C91" s="52" t="n"/>
      <c r="D91" s="52" t="n"/>
      <c r="E91" s="44" t="n"/>
      <c r="F91" s="44" t="n"/>
      <c r="G91" s="44" t="n"/>
    </row>
    <row r="92" ht="15" customHeight="1" s="36">
      <c r="A92" s="52" t="n"/>
      <c r="B92" s="52" t="n"/>
      <c r="C92" s="52" t="n"/>
      <c r="D92" s="52" t="n"/>
      <c r="E92" s="44" t="n"/>
      <c r="F92" s="44" t="n"/>
      <c r="G92" s="44" t="n"/>
    </row>
    <row r="93" ht="15" customHeight="1" s="36">
      <c r="A93" s="52" t="n"/>
      <c r="B93" s="52" t="n"/>
      <c r="C93" s="52" t="n"/>
      <c r="D93" s="52" t="n"/>
      <c r="E93" s="44" t="n"/>
      <c r="F93" s="44" t="n"/>
      <c r="G93" s="44" t="n"/>
    </row>
    <row r="94" ht="15" customHeight="1" s="36">
      <c r="A94" s="52" t="n"/>
      <c r="B94" s="52" t="n"/>
      <c r="C94" s="52" t="n"/>
      <c r="D94" s="52" t="n"/>
      <c r="E94" s="44" t="n"/>
      <c r="F94" s="44" t="n"/>
      <c r="G94" s="44" t="n"/>
    </row>
    <row r="95" ht="15" customHeight="1" s="36">
      <c r="A95" s="52" t="n"/>
      <c r="B95" s="52" t="n"/>
      <c r="C95" s="52" t="n"/>
      <c r="D95" s="52" t="n"/>
      <c r="E95" s="44" t="n"/>
      <c r="F95" s="44" t="n"/>
      <c r="G95" s="44" t="n"/>
    </row>
    <row r="96" ht="15" customHeight="1" s="36">
      <c r="A96" s="52" t="n"/>
      <c r="B96" s="52" t="n"/>
      <c r="C96" s="52" t="n"/>
      <c r="D96" s="52" t="n"/>
      <c r="E96" s="44" t="n"/>
      <c r="F96" s="44" t="n"/>
      <c r="G96" s="44" t="n"/>
    </row>
    <row r="97" ht="15" customHeight="1" s="36">
      <c r="A97" s="52" t="n"/>
      <c r="B97" s="52" t="n"/>
      <c r="C97" s="52" t="n"/>
      <c r="D97" s="52" t="n"/>
      <c r="E97" s="44" t="n"/>
      <c r="F97" s="44" t="n"/>
      <c r="G97" s="44" t="n"/>
    </row>
    <row r="98" ht="15" customHeight="1" s="36">
      <c r="A98" s="52" t="n"/>
      <c r="B98" s="52" t="n"/>
      <c r="C98" s="52" t="n"/>
      <c r="D98" s="52" t="n"/>
      <c r="E98" s="44" t="n"/>
      <c r="F98" s="44" t="n"/>
      <c r="G98" s="44" t="n"/>
    </row>
    <row r="99" ht="15" customHeight="1" s="36">
      <c r="A99" s="52" t="n"/>
      <c r="B99" s="52" t="n"/>
      <c r="C99" s="52" t="n"/>
      <c r="D99" s="52" t="n"/>
      <c r="E99" s="44" t="n"/>
      <c r="F99" s="44" t="n"/>
      <c r="G99" s="44" t="n"/>
    </row>
    <row r="100" ht="15" customHeight="1" s="36">
      <c r="A100" s="52" t="n"/>
      <c r="B100" s="52" t="n"/>
      <c r="C100" s="52" t="n"/>
      <c r="D100" s="52" t="n"/>
      <c r="E100" s="44" t="n"/>
      <c r="F100" s="44" t="n"/>
      <c r="G100" s="44" t="n"/>
    </row>
    <row r="101" ht="15" customHeight="1" s="36">
      <c r="A101" s="52" t="n"/>
      <c r="B101" s="52" t="n"/>
      <c r="C101" s="52" t="n"/>
      <c r="D101" s="52" t="n"/>
      <c r="E101" s="44" t="n"/>
      <c r="F101" s="44" t="n"/>
      <c r="G101" s="44" t="n"/>
    </row>
    <row r="102" ht="15" customHeight="1" s="36">
      <c r="A102" s="52" t="n"/>
      <c r="B102" s="52" t="n"/>
      <c r="C102" s="52" t="n"/>
      <c r="D102" s="52" t="n"/>
      <c r="E102" s="44" t="n"/>
      <c r="F102" s="44" t="n"/>
      <c r="G102" s="44" t="n"/>
    </row>
    <row r="103" ht="15" customHeight="1" s="36">
      <c r="A103" s="52" t="n"/>
      <c r="B103" s="52" t="n"/>
      <c r="C103" s="52" t="n"/>
      <c r="D103" s="52" t="n"/>
      <c r="E103" s="44" t="n"/>
      <c r="F103" s="44" t="n"/>
      <c r="G103" s="44" t="n"/>
    </row>
    <row r="104" ht="15" customHeight="1" s="36">
      <c r="A104" s="52" t="n"/>
      <c r="B104" s="52" t="n"/>
      <c r="C104" s="52" t="n"/>
      <c r="D104" s="52" t="n"/>
      <c r="E104" s="44" t="n"/>
      <c r="F104" s="44" t="n"/>
      <c r="G104" s="44" t="n"/>
    </row>
    <row r="105" ht="15" customHeight="1" s="36">
      <c r="A105" s="52" t="n"/>
      <c r="B105" s="52" t="n"/>
      <c r="C105" s="52" t="n"/>
      <c r="D105" s="52" t="n"/>
      <c r="E105" s="44" t="n"/>
      <c r="F105" s="44" t="n"/>
      <c r="G105" s="44" t="n"/>
    </row>
    <row r="106" ht="15" customHeight="1" s="36">
      <c r="A106" s="52" t="n"/>
      <c r="B106" s="52" t="n"/>
      <c r="C106" s="52" t="n"/>
      <c r="D106" s="52" t="n"/>
      <c r="E106" s="44" t="n"/>
      <c r="F106" s="44" t="n"/>
      <c r="G106" s="44" t="n"/>
    </row>
    <row r="107" ht="15" customHeight="1" s="36">
      <c r="A107" s="52" t="n"/>
      <c r="B107" s="52" t="n"/>
      <c r="C107" s="52" t="n"/>
      <c r="D107" s="52" t="n"/>
      <c r="E107" s="44" t="n"/>
      <c r="F107" s="44" t="n"/>
      <c r="G107" s="44" t="n"/>
    </row>
    <row r="108" ht="15" customHeight="1" s="36">
      <c r="A108" s="52" t="n"/>
      <c r="B108" s="52" t="n"/>
      <c r="C108" s="52" t="n"/>
      <c r="D108" s="52" t="n"/>
      <c r="E108" s="44" t="n"/>
      <c r="F108" s="44" t="n"/>
      <c r="G108" s="44" t="n"/>
    </row>
    <row r="109" ht="15" customHeight="1" s="36">
      <c r="A109" s="52" t="n"/>
      <c r="B109" s="52" t="n"/>
      <c r="C109" s="52" t="n"/>
      <c r="D109" s="52" t="n"/>
      <c r="E109" s="44" t="n"/>
      <c r="F109" s="44" t="n"/>
      <c r="G109" s="44" t="n"/>
    </row>
    <row r="110" ht="15" customHeight="1" s="36">
      <c r="A110" s="52" t="n"/>
      <c r="B110" s="52" t="n"/>
      <c r="C110" s="52" t="n"/>
      <c r="D110" s="52" t="n"/>
      <c r="E110" s="44" t="n"/>
      <c r="F110" s="44" t="n"/>
      <c r="G110" s="44" t="n"/>
    </row>
    <row r="111" ht="15" customHeight="1" s="36">
      <c r="A111" s="52" t="n"/>
      <c r="B111" s="52" t="n"/>
      <c r="C111" s="52" t="n"/>
      <c r="D111" s="52" t="n"/>
      <c r="E111" s="44" t="n"/>
      <c r="F111" s="44" t="n"/>
      <c r="G111" s="44" t="n"/>
    </row>
    <row r="112" ht="15" customHeight="1" s="36">
      <c r="A112" s="52" t="n"/>
      <c r="B112" s="52" t="n"/>
      <c r="C112" s="52" t="n"/>
      <c r="D112" s="52" t="n"/>
      <c r="E112" s="44" t="n"/>
      <c r="F112" s="44" t="n"/>
      <c r="G112" s="44" t="n"/>
    </row>
    <row r="113" ht="15" customHeight="1" s="36">
      <c r="A113" s="52" t="n"/>
      <c r="B113" s="52" t="n"/>
      <c r="C113" s="52" t="n"/>
      <c r="D113" s="52" t="n"/>
      <c r="E113" s="44" t="n"/>
      <c r="F113" s="44" t="n"/>
      <c r="G113" s="44" t="n"/>
    </row>
    <row r="114" ht="15" customHeight="1" s="36">
      <c r="A114" s="52" t="n"/>
      <c r="B114" s="52" t="n"/>
      <c r="C114" s="52" t="n"/>
      <c r="D114" s="52" t="n"/>
      <c r="E114" s="44" t="n"/>
      <c r="F114" s="44" t="n"/>
      <c r="G114" s="44" t="n"/>
    </row>
    <row r="115" ht="15" customHeight="1" s="36">
      <c r="A115" s="52" t="n"/>
      <c r="B115" s="52" t="n"/>
      <c r="C115" s="52" t="n"/>
      <c r="D115" s="52" t="n"/>
      <c r="E115" s="44" t="n"/>
      <c r="F115" s="44" t="n"/>
      <c r="G115" s="44" t="n"/>
    </row>
    <row r="116" ht="15" customHeight="1" s="36">
      <c r="A116" s="52" t="n"/>
      <c r="B116" s="52" t="n"/>
      <c r="C116" s="52" t="n"/>
      <c r="D116" s="52" t="n"/>
      <c r="E116" s="44" t="n"/>
      <c r="F116" s="44" t="n"/>
      <c r="G116" s="44" t="n"/>
    </row>
    <row r="117" ht="15" customHeight="1" s="36">
      <c r="A117" s="52" t="n"/>
      <c r="B117" s="52" t="n"/>
      <c r="C117" s="52" t="n"/>
      <c r="D117" s="52" t="n"/>
      <c r="E117" s="44" t="n"/>
      <c r="F117" s="44" t="n"/>
      <c r="G117" s="44" t="n"/>
    </row>
    <row r="118" ht="15" customHeight="1" s="36">
      <c r="A118" s="52" t="n"/>
      <c r="B118" s="52" t="n"/>
      <c r="C118" s="52" t="n"/>
      <c r="D118" s="52" t="n"/>
      <c r="E118" s="44" t="n"/>
      <c r="F118" s="44" t="n"/>
      <c r="G118" s="44" t="n"/>
    </row>
    <row r="119" ht="15" customHeight="1" s="36">
      <c r="A119" s="52" t="n"/>
      <c r="B119" s="52" t="n"/>
      <c r="C119" s="52" t="n"/>
      <c r="D119" s="52" t="n"/>
      <c r="E119" s="44" t="n"/>
      <c r="F119" s="44" t="n"/>
      <c r="G119" s="44" t="n"/>
    </row>
    <row r="120" ht="15" customHeight="1" s="36">
      <c r="A120" s="52" t="n"/>
      <c r="B120" s="52" t="n"/>
      <c r="C120" s="52" t="n"/>
      <c r="D120" s="52" t="n"/>
      <c r="E120" s="44" t="n"/>
      <c r="F120" s="44" t="n"/>
      <c r="G120" s="44" t="n"/>
    </row>
    <row r="121" ht="15" customHeight="1" s="36">
      <c r="A121" s="52" t="n"/>
      <c r="B121" s="52" t="n"/>
      <c r="C121" s="52" t="n"/>
      <c r="D121" s="52" t="n"/>
      <c r="E121" s="44" t="n"/>
      <c r="F121" s="44" t="n"/>
      <c r="G121" s="44" t="n"/>
    </row>
    <row r="122" ht="15" customHeight="1" s="36">
      <c r="A122" s="52" t="n"/>
      <c r="B122" s="52" t="n"/>
      <c r="C122" s="52" t="n"/>
      <c r="D122" s="52" t="n"/>
      <c r="E122" s="44" t="n"/>
      <c r="F122" s="44" t="n"/>
      <c r="G122" s="44" t="n"/>
    </row>
    <row r="123" ht="15" customHeight="1" s="36">
      <c r="A123" s="52" t="n"/>
      <c r="B123" s="52" t="n"/>
      <c r="C123" s="52" t="n"/>
      <c r="D123" s="52" t="n"/>
      <c r="E123" s="44" t="n"/>
      <c r="F123" s="44" t="n"/>
      <c r="G123" s="44" t="n"/>
    </row>
    <row r="124" ht="15" customHeight="1" s="36">
      <c r="A124" s="52" t="n"/>
      <c r="B124" s="52" t="n"/>
      <c r="C124" s="52" t="n"/>
      <c r="D124" s="52" t="n"/>
      <c r="E124" s="44" t="n"/>
      <c r="F124" s="44" t="n"/>
      <c r="G124" s="44" t="n"/>
    </row>
    <row r="125" ht="15" customHeight="1" s="36">
      <c r="A125" s="52" t="n"/>
      <c r="B125" s="52" t="n"/>
      <c r="C125" s="52" t="n"/>
      <c r="D125" s="52" t="n"/>
      <c r="E125" s="44" t="n"/>
      <c r="F125" s="44" t="n"/>
      <c r="G125" s="44" t="n"/>
    </row>
    <row r="126" ht="15" customHeight="1" s="36">
      <c r="A126" s="52" t="n"/>
      <c r="B126" s="52" t="n"/>
      <c r="C126" s="52" t="n"/>
      <c r="D126" s="52" t="n"/>
      <c r="E126" s="44" t="n"/>
      <c r="F126" s="44" t="n"/>
      <c r="G126" s="44" t="n"/>
    </row>
    <row r="127" ht="15" customHeight="1" s="36">
      <c r="A127" s="52" t="n"/>
      <c r="B127" s="52" t="n"/>
      <c r="C127" s="52" t="n"/>
      <c r="D127" s="52" t="n"/>
      <c r="E127" s="44" t="n"/>
      <c r="F127" s="44" t="n"/>
      <c r="G127" s="44" t="n"/>
    </row>
    <row r="128" ht="15" customHeight="1" s="36">
      <c r="A128" s="52" t="n"/>
      <c r="B128" s="52" t="n"/>
      <c r="C128" s="52" t="n"/>
      <c r="D128" s="52" t="n"/>
      <c r="E128" s="44" t="n"/>
      <c r="F128" s="44" t="n"/>
      <c r="G128" s="44" t="n"/>
    </row>
    <row r="129" ht="15" customHeight="1" s="36">
      <c r="A129" s="52" t="n"/>
      <c r="B129" s="52" t="n"/>
      <c r="C129" s="52" t="n"/>
      <c r="D129" s="52" t="n"/>
      <c r="E129" s="44" t="n"/>
      <c r="F129" s="44" t="n"/>
      <c r="G129" s="44" t="n"/>
    </row>
    <row r="130" ht="15" customHeight="1" s="36">
      <c r="A130" s="52" t="n"/>
      <c r="B130" s="52" t="n"/>
      <c r="C130" s="52" t="n"/>
      <c r="D130" s="52" t="n"/>
      <c r="E130" s="44" t="n"/>
      <c r="F130" s="44" t="n"/>
      <c r="G130" s="44" t="n"/>
    </row>
    <row r="131" ht="15" customHeight="1" s="36">
      <c r="A131" s="52" t="n"/>
      <c r="B131" s="52" t="n"/>
      <c r="C131" s="52" t="n"/>
      <c r="D131" s="52" t="n"/>
      <c r="E131" s="44" t="n"/>
      <c r="F131" s="44" t="n"/>
      <c r="G131" s="44" t="n"/>
    </row>
    <row r="132" ht="15" customHeight="1" s="36">
      <c r="A132" s="52" t="n"/>
      <c r="B132" s="52" t="n"/>
      <c r="C132" s="52" t="n"/>
      <c r="D132" s="52" t="n"/>
      <c r="E132" s="44" t="n"/>
      <c r="F132" s="44" t="n"/>
      <c r="G132" s="44" t="n"/>
    </row>
    <row r="133" ht="15" customHeight="1" s="36">
      <c r="A133" s="52" t="n"/>
      <c r="B133" s="52" t="n"/>
      <c r="C133" s="52" t="n"/>
      <c r="D133" s="52" t="n"/>
      <c r="E133" s="44" t="n"/>
      <c r="F133" s="44" t="n"/>
      <c r="G133" s="44" t="n"/>
    </row>
    <row r="134" ht="15" customHeight="1" s="36">
      <c r="A134" s="52" t="n"/>
      <c r="B134" s="52" t="n"/>
      <c r="C134" s="52" t="n"/>
      <c r="D134" s="52" t="n"/>
      <c r="E134" s="44" t="n"/>
      <c r="F134" s="44" t="n"/>
      <c r="G134" s="44" t="n"/>
    </row>
    <row r="135" ht="15" customHeight="1" s="36">
      <c r="A135" s="52" t="n"/>
      <c r="B135" s="52" t="n"/>
      <c r="C135" s="52" t="n"/>
      <c r="D135" s="52" t="n"/>
      <c r="E135" s="44" t="n"/>
      <c r="F135" s="44" t="n"/>
      <c r="G135" s="44" t="n"/>
    </row>
    <row r="136" ht="15" customHeight="1" s="36">
      <c r="A136" s="52" t="n"/>
      <c r="B136" s="52" t="n"/>
      <c r="C136" s="52" t="n"/>
      <c r="D136" s="52" t="n"/>
      <c r="E136" s="44" t="n"/>
      <c r="F136" s="44" t="n"/>
      <c r="G136" s="44" t="n"/>
    </row>
    <row r="137" ht="15" customHeight="1" s="36">
      <c r="A137" s="52" t="n"/>
      <c r="B137" s="52" t="n"/>
      <c r="C137" s="52" t="n"/>
      <c r="D137" s="52" t="n"/>
      <c r="E137" s="44" t="n"/>
      <c r="F137" s="44" t="n"/>
      <c r="G137" s="44" t="n"/>
    </row>
    <row r="138" ht="15" customHeight="1" s="36">
      <c r="A138" s="52" t="n"/>
      <c r="B138" s="52" t="n"/>
      <c r="C138" s="52" t="n"/>
      <c r="D138" s="52" t="n"/>
      <c r="E138" s="44" t="n"/>
      <c r="F138" s="44" t="n"/>
      <c r="G138" s="44" t="n"/>
    </row>
    <row r="139" ht="15" customHeight="1" s="36">
      <c r="A139" s="52" t="n"/>
      <c r="B139" s="52" t="n"/>
      <c r="C139" s="52" t="n"/>
      <c r="D139" s="52" t="n"/>
      <c r="E139" s="44" t="n"/>
      <c r="F139" s="44" t="n"/>
      <c r="G139" s="44" t="n"/>
    </row>
    <row r="140" ht="15" customHeight="1" s="36">
      <c r="A140" s="52" t="n"/>
      <c r="B140" s="52" t="n"/>
      <c r="C140" s="52" t="n"/>
      <c r="D140" s="52" t="n"/>
      <c r="E140" s="44" t="n"/>
      <c r="F140" s="44" t="n"/>
      <c r="G140" s="44" t="n"/>
    </row>
    <row r="141" ht="15" customHeight="1" s="36">
      <c r="A141" s="52" t="n"/>
      <c r="B141" s="52" t="n"/>
      <c r="C141" s="52" t="n"/>
      <c r="D141" s="52" t="n"/>
      <c r="E141" s="44" t="n"/>
      <c r="F141" s="44" t="n"/>
      <c r="G141" s="44" t="n"/>
    </row>
    <row r="142" ht="15" customHeight="1" s="36">
      <c r="A142" s="52" t="n"/>
      <c r="B142" s="52" t="n"/>
      <c r="C142" s="52" t="n"/>
      <c r="D142" s="52" t="n"/>
      <c r="E142" s="44" t="n"/>
      <c r="F142" s="44" t="n"/>
      <c r="G142" s="44" t="n"/>
    </row>
    <row r="143" ht="15" customHeight="1" s="36">
      <c r="A143" s="52" t="n"/>
      <c r="B143" s="52" t="n"/>
      <c r="C143" s="52" t="n"/>
      <c r="D143" s="52" t="n"/>
      <c r="E143" s="44" t="n"/>
      <c r="F143" s="44" t="n"/>
      <c r="G143" s="44" t="n"/>
    </row>
    <row r="144" ht="15" customHeight="1" s="36">
      <c r="A144" s="52" t="n"/>
      <c r="B144" s="52" t="n"/>
      <c r="C144" s="52" t="n"/>
      <c r="D144" s="52" t="n"/>
      <c r="E144" s="44" t="n"/>
      <c r="F144" s="44" t="n"/>
      <c r="G144" s="44" t="n"/>
    </row>
    <row r="145" ht="15" customHeight="1" s="36">
      <c r="A145" s="52" t="n"/>
      <c r="B145" s="52" t="n"/>
      <c r="C145" s="52" t="n"/>
      <c r="D145" s="52" t="n"/>
      <c r="E145" s="44" t="n"/>
      <c r="F145" s="44" t="n"/>
      <c r="G145" s="44" t="n"/>
    </row>
    <row r="146" ht="15" customHeight="1" s="36">
      <c r="A146" s="52" t="n"/>
      <c r="B146" s="52" t="n"/>
      <c r="C146" s="52" t="n"/>
      <c r="D146" s="52" t="n"/>
      <c r="E146" s="44" t="n"/>
      <c r="F146" s="44" t="n"/>
      <c r="G146" s="44" t="n"/>
    </row>
    <row r="147" ht="15" customHeight="1" s="36">
      <c r="A147" s="52" t="n"/>
      <c r="B147" s="52" t="n"/>
      <c r="C147" s="52" t="n"/>
      <c r="D147" s="52" t="n"/>
      <c r="E147" s="44" t="n"/>
      <c r="F147" s="44" t="n"/>
      <c r="G147" s="44" t="n"/>
    </row>
    <row r="148" ht="15" customHeight="1" s="36">
      <c r="A148" s="52" t="n"/>
      <c r="B148" s="52" t="n"/>
      <c r="C148" s="52" t="n"/>
      <c r="D148" s="52" t="n"/>
      <c r="E148" s="44" t="n"/>
      <c r="F148" s="44" t="n"/>
      <c r="G148" s="44" t="n"/>
    </row>
    <row r="149" ht="15" customHeight="1" s="36">
      <c r="A149" s="52" t="n"/>
      <c r="B149" s="52" t="n"/>
      <c r="C149" s="52" t="n"/>
      <c r="D149" s="52" t="n"/>
      <c r="E149" s="44" t="n"/>
      <c r="F149" s="44" t="n"/>
      <c r="G149" s="44" t="n"/>
    </row>
    <row r="150" ht="15" customHeight="1" s="36">
      <c r="A150" s="52" t="n"/>
      <c r="B150" s="52" t="n"/>
      <c r="C150" s="52" t="n"/>
      <c r="D150" s="52" t="n"/>
      <c r="E150" s="44" t="n"/>
      <c r="F150" s="44" t="n"/>
      <c r="G150" s="44" t="n"/>
    </row>
    <row r="151" ht="15" customHeight="1" s="36">
      <c r="A151" s="52" t="n"/>
      <c r="B151" s="52" t="n"/>
      <c r="C151" s="52" t="n"/>
      <c r="D151" s="52" t="n"/>
      <c r="E151" s="44" t="n"/>
      <c r="F151" s="44" t="n"/>
      <c r="G151" s="44" t="n"/>
    </row>
    <row r="152" ht="15" customHeight="1" s="36">
      <c r="A152" s="52" t="n"/>
      <c r="B152" s="52" t="n"/>
      <c r="C152" s="52" t="n"/>
      <c r="D152" s="52" t="n"/>
      <c r="E152" s="44" t="n"/>
      <c r="F152" s="44" t="n"/>
      <c r="G152" s="44" t="n"/>
    </row>
    <row r="153" ht="15" customHeight="1" s="36">
      <c r="A153" s="52" t="n"/>
      <c r="B153" s="52" t="n"/>
      <c r="C153" s="52" t="n"/>
      <c r="D153" s="52" t="n"/>
      <c r="E153" s="44" t="n"/>
      <c r="F153" s="44" t="n"/>
      <c r="G153" s="44" t="n"/>
    </row>
    <row r="154" ht="15" customHeight="1" s="36">
      <c r="A154" s="52" t="n"/>
      <c r="B154" s="52" t="n"/>
      <c r="C154" s="52" t="n"/>
      <c r="D154" s="52" t="n"/>
      <c r="E154" s="44" t="n"/>
      <c r="F154" s="44" t="n"/>
      <c r="G154" s="44" t="n"/>
    </row>
  </sheetData>
  <mergeCells count="2">
    <mergeCell ref="A2:G2"/>
    <mergeCell ref="A1:G1"/>
  </mergeCells>
  <dataValidations count="4">
    <dataValidation sqref="A5:A154" showDropDown="0" showInputMessage="0" showErrorMessage="0" allowBlank="1" type="list" errorStyle="stop" operator="between">
      <formula1>選項!$B$2:$B$72</formula1>
      <formula2>0</formula2>
    </dataValidation>
    <dataValidation sqref="B5:B154" showDropDown="0" showInputMessage="0" showErrorMessage="0" allowBlank="1" type="list" errorStyle="stop" operator="between">
      <formula1>選項!$C$2:$C$6</formula1>
      <formula2>0</formula2>
    </dataValidation>
    <dataValidation sqref="C5:C154" showDropDown="0" showInputMessage="0" showErrorMessage="0" allowBlank="1" type="list" errorStyle="stop" operator="between">
      <formula1>選項!$D$2:$D$8</formula1>
      <formula2>0</formula2>
    </dataValidation>
    <dataValidation sqref="D5:D154" showDropDown="0" showInputMessage="0" showErrorMessage="0" allowBlank="1" type="list" errorStyle="stop" operator="between">
      <formula1>選項!$E$2:$E$6</formula1>
      <formula2>0</formula2>
    </dataValidation>
  </dataValidation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1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5" min="1" max="1"/>
    <col width="11" customWidth="1" style="35" min="2" max="3"/>
    <col width="8" customWidth="1" style="35" min="4" max="5"/>
    <col width="14" customWidth="1" style="35" min="6" max="6"/>
    <col width="10" customWidth="1" style="35" min="7" max="7"/>
    <col width="26" customWidth="1" style="35" min="8" max="8"/>
  </cols>
  <sheetData>
    <row r="1" ht="27.75" customHeight="1" s="36">
      <c r="A1" s="48" t="inlineStr">
        <is>
          <t>4. 特教抽離</t>
        </is>
      </c>
    </row>
    <row r="2" ht="36" customHeight="1" s="36">
      <c r="A2" s="49" t="inlineStr">
        <is>
          <t>請勿填寫學生姓名。抽離時段原班要上「抽離科目」（由導師上），系統會把那一節保留給導師並標示科目。</t>
        </is>
      </c>
    </row>
    <row r="3" ht="17.15" customHeight="1" s="36">
      <c r="A3" s="39" t="inlineStr">
        <is>
          <t>類型</t>
        </is>
      </c>
      <c r="B3" s="39" t="inlineStr">
        <is>
          <t>原班級</t>
        </is>
      </c>
      <c r="C3" s="39" t="inlineStr">
        <is>
          <t>抽離科目</t>
        </is>
      </c>
      <c r="D3" s="39" t="inlineStr">
        <is>
          <t>星期</t>
        </is>
      </c>
      <c r="E3" s="39" t="inlineStr">
        <is>
          <t>節次</t>
        </is>
      </c>
      <c r="F3" s="39" t="inlineStr">
        <is>
          <t>特教老師</t>
        </is>
      </c>
      <c r="G3" s="39" t="inlineStr">
        <is>
          <t>抽離人數</t>
        </is>
      </c>
      <c r="H3" s="39" t="inlineStr">
        <is>
          <t>備註</t>
        </is>
      </c>
    </row>
    <row r="4" ht="15" customHeight="1" s="36">
      <c r="A4" s="54" t="inlineStr">
        <is>
          <t>資源班抽離</t>
        </is>
      </c>
      <c r="B4" s="55" t="inlineStr">
        <is>
          <t>4年2班</t>
        </is>
      </c>
      <c r="C4" s="54" t="inlineStr">
        <is>
          <t>數學</t>
        </is>
      </c>
      <c r="D4" s="54" t="inlineStr">
        <is>
          <t>一</t>
        </is>
      </c>
      <c r="E4" s="55" t="inlineStr">
        <is>
          <t>2</t>
        </is>
      </c>
      <c r="F4" s="54" t="inlineStr">
        <is>
          <t>（範例）林老師</t>
        </is>
      </c>
      <c r="G4" s="54" t="n">
        <v>2</v>
      </c>
      <c r="H4" s="54" t="inlineStr">
        <is>
          <t>同時段另有4年5班</t>
        </is>
      </c>
    </row>
    <row r="5" ht="15" customHeight="1" s="36">
      <c r="A5" s="52" t="inlineStr">
        <is>
          <t>資源班抽離</t>
        </is>
      </c>
      <c r="B5" s="52" t="inlineStr">
        <is>
          <t>6年12班</t>
        </is>
      </c>
      <c r="C5" s="44" t="inlineStr">
        <is>
          <t>數學</t>
        </is>
      </c>
      <c r="D5" s="52" t="inlineStr">
        <is>
          <t>二</t>
        </is>
      </c>
      <c r="E5" s="52" t="inlineStr">
        <is>
          <t>4</t>
        </is>
      </c>
      <c r="F5" s="44" t="inlineStr">
        <is>
          <t>資源班甲</t>
        </is>
      </c>
      <c r="G5" s="44" t="n">
        <v>2</v>
      </c>
      <c r="H5" s="44" t="n"/>
    </row>
    <row r="6" ht="15" customHeight="1" s="36">
      <c r="A6" s="52" t="inlineStr">
        <is>
          <t>資源班抽離</t>
        </is>
      </c>
      <c r="B6" s="52" t="inlineStr">
        <is>
          <t>2年1班</t>
        </is>
      </c>
      <c r="C6" s="44" t="inlineStr">
        <is>
          <t>國語</t>
        </is>
      </c>
      <c r="D6" s="52" t="inlineStr">
        <is>
          <t>三</t>
        </is>
      </c>
      <c r="E6" s="52" t="inlineStr">
        <is>
          <t>4</t>
        </is>
      </c>
      <c r="F6" s="44" t="inlineStr">
        <is>
          <t>資源班乙</t>
        </is>
      </c>
      <c r="G6" s="44" t="n">
        <v>2</v>
      </c>
      <c r="H6" s="44" t="n"/>
    </row>
    <row r="7" ht="15" customHeight="1" s="36">
      <c r="A7" s="52" t="inlineStr">
        <is>
          <t>資源班抽離</t>
        </is>
      </c>
      <c r="B7" s="52" t="inlineStr">
        <is>
          <t>3年1班</t>
        </is>
      </c>
      <c r="C7" s="44" t="inlineStr">
        <is>
          <t>國語</t>
        </is>
      </c>
      <c r="D7" s="52" t="inlineStr">
        <is>
          <t>三</t>
        </is>
      </c>
      <c r="E7" s="52" t="inlineStr">
        <is>
          <t>3</t>
        </is>
      </c>
      <c r="F7" s="44" t="inlineStr">
        <is>
          <t>資源班丙</t>
        </is>
      </c>
      <c r="G7" s="44" t="n">
        <v>2</v>
      </c>
      <c r="H7" s="44" t="n"/>
    </row>
    <row r="8" ht="15" customHeight="1" s="36">
      <c r="A8" s="52" t="inlineStr">
        <is>
          <t>資源班抽離</t>
        </is>
      </c>
      <c r="B8" s="52" t="inlineStr">
        <is>
          <t>5年6班</t>
        </is>
      </c>
      <c r="C8" s="44" t="inlineStr">
        <is>
          <t>數學</t>
        </is>
      </c>
      <c r="D8" s="52" t="inlineStr">
        <is>
          <t>四</t>
        </is>
      </c>
      <c r="E8" s="52" t="inlineStr">
        <is>
          <t>2</t>
        </is>
      </c>
      <c r="F8" s="44" t="inlineStr">
        <is>
          <t>資源班甲</t>
        </is>
      </c>
      <c r="G8" s="44" t="n">
        <v>1</v>
      </c>
      <c r="H8" s="44" t="n"/>
    </row>
    <row r="9" ht="15" customHeight="1" s="36">
      <c r="A9" s="52" t="inlineStr">
        <is>
          <t>資源班抽離</t>
        </is>
      </c>
      <c r="B9" s="52" t="inlineStr">
        <is>
          <t>4年8班</t>
        </is>
      </c>
      <c r="C9" s="44" t="inlineStr">
        <is>
          <t>國語</t>
        </is>
      </c>
      <c r="D9" s="52" t="inlineStr">
        <is>
          <t>三</t>
        </is>
      </c>
      <c r="E9" s="52" t="inlineStr">
        <is>
          <t>3</t>
        </is>
      </c>
      <c r="F9" s="44" t="inlineStr">
        <is>
          <t>資源班乙</t>
        </is>
      </c>
      <c r="G9" s="44" t="n">
        <v>2</v>
      </c>
      <c r="H9" s="44" t="n"/>
    </row>
    <row r="10" ht="15" customHeight="1" s="36">
      <c r="A10" s="52" t="inlineStr">
        <is>
          <t>資源班抽離</t>
        </is>
      </c>
      <c r="B10" s="52" t="inlineStr">
        <is>
          <t>3年2班</t>
        </is>
      </c>
      <c r="C10" s="44" t="inlineStr">
        <is>
          <t>數學</t>
        </is>
      </c>
      <c r="D10" s="52" t="inlineStr">
        <is>
          <t>二</t>
        </is>
      </c>
      <c r="E10" s="52" t="inlineStr">
        <is>
          <t>1</t>
        </is>
      </c>
      <c r="F10" s="44" t="inlineStr">
        <is>
          <t>資源班丙</t>
        </is>
      </c>
      <c r="G10" s="44" t="n">
        <v>3</v>
      </c>
      <c r="H10" s="44" t="n"/>
    </row>
    <row r="11" ht="15" customHeight="1" s="36">
      <c r="A11" s="52" t="inlineStr">
        <is>
          <t>資源班抽離</t>
        </is>
      </c>
      <c r="B11" s="52" t="inlineStr">
        <is>
          <t>6年3班</t>
        </is>
      </c>
      <c r="C11" s="44" t="inlineStr">
        <is>
          <t>數學</t>
        </is>
      </c>
      <c r="D11" s="52" t="inlineStr">
        <is>
          <t>四</t>
        </is>
      </c>
      <c r="E11" s="52" t="inlineStr">
        <is>
          <t>2</t>
        </is>
      </c>
      <c r="F11" s="44" t="inlineStr">
        <is>
          <t>資源班甲</t>
        </is>
      </c>
      <c r="G11" s="44" t="n">
        <v>2</v>
      </c>
      <c r="H11" s="44" t="n"/>
    </row>
    <row r="12" ht="15" customHeight="1" s="36">
      <c r="A12" s="52" t="inlineStr">
        <is>
          <t>資源班抽離</t>
        </is>
      </c>
      <c r="B12" s="52" t="inlineStr">
        <is>
          <t>5年8班</t>
        </is>
      </c>
      <c r="C12" s="44" t="inlineStr">
        <is>
          <t>數學</t>
        </is>
      </c>
      <c r="D12" s="52" t="inlineStr">
        <is>
          <t>二</t>
        </is>
      </c>
      <c r="E12" s="52" t="inlineStr">
        <is>
          <t>4</t>
        </is>
      </c>
      <c r="F12" s="44" t="inlineStr">
        <is>
          <t>資源班乙</t>
        </is>
      </c>
      <c r="G12" s="44" t="n">
        <v>1</v>
      </c>
      <c r="H12" s="44" t="n"/>
    </row>
    <row r="13" ht="15" customHeight="1" s="36">
      <c r="A13" s="52" t="inlineStr">
        <is>
          <t>資源班抽離</t>
        </is>
      </c>
      <c r="B13" s="52" t="inlineStr">
        <is>
          <t>4年11班</t>
        </is>
      </c>
      <c r="C13" s="44" t="inlineStr">
        <is>
          <t>數學</t>
        </is>
      </c>
      <c r="D13" s="52" t="inlineStr">
        <is>
          <t>二</t>
        </is>
      </c>
      <c r="E13" s="52" t="inlineStr">
        <is>
          <t>3</t>
        </is>
      </c>
      <c r="F13" s="44" t="inlineStr">
        <is>
          <t>資源班丙</t>
        </is>
      </c>
      <c r="G13" s="44" t="n">
        <v>2</v>
      </c>
      <c r="H13" s="44" t="n"/>
    </row>
    <row r="14" ht="15" customHeight="1" s="36">
      <c r="A14" s="52" t="inlineStr">
        <is>
          <t>資源班抽離</t>
        </is>
      </c>
      <c r="B14" s="52" t="inlineStr">
        <is>
          <t>4年7班</t>
        </is>
      </c>
      <c r="C14" s="44" t="inlineStr">
        <is>
          <t>國語</t>
        </is>
      </c>
      <c r="D14" s="52" t="inlineStr">
        <is>
          <t>五</t>
        </is>
      </c>
      <c r="E14" s="52" t="inlineStr">
        <is>
          <t>1</t>
        </is>
      </c>
      <c r="F14" s="44" t="inlineStr">
        <is>
          <t>資源班甲</t>
        </is>
      </c>
      <c r="G14" s="44" t="n">
        <v>2</v>
      </c>
      <c r="H14" s="44" t="n"/>
    </row>
    <row r="15" ht="15" customHeight="1" s="36">
      <c r="A15" s="52" t="n"/>
      <c r="B15" s="52" t="n"/>
      <c r="C15" s="44" t="n"/>
      <c r="D15" s="52" t="n"/>
      <c r="E15" s="52" t="n"/>
      <c r="F15" s="44" t="n"/>
      <c r="G15" s="44" t="n"/>
      <c r="H15" s="44" t="n"/>
    </row>
    <row r="16" ht="15" customHeight="1" s="36">
      <c r="A16" s="52" t="n"/>
      <c r="B16" s="52" t="n"/>
      <c r="C16" s="44" t="n"/>
      <c r="D16" s="52" t="n"/>
      <c r="E16" s="52" t="n"/>
      <c r="F16" s="44" t="n"/>
      <c r="G16" s="44" t="n"/>
      <c r="H16" s="44" t="n"/>
    </row>
    <row r="17" ht="15" customHeight="1" s="36">
      <c r="A17" s="52" t="n"/>
      <c r="B17" s="52" t="n"/>
      <c r="C17" s="44" t="n"/>
      <c r="D17" s="52" t="n"/>
      <c r="E17" s="52" t="n"/>
      <c r="F17" s="44" t="n"/>
      <c r="G17" s="44" t="n"/>
      <c r="H17" s="44" t="n"/>
    </row>
    <row r="18" ht="15" customHeight="1" s="36">
      <c r="A18" s="52" t="n"/>
      <c r="B18" s="52" t="n"/>
      <c r="C18" s="44" t="n"/>
      <c r="D18" s="52" t="n"/>
      <c r="E18" s="52" t="n"/>
      <c r="F18" s="44" t="n"/>
      <c r="G18" s="44" t="n"/>
      <c r="H18" s="44" t="n"/>
    </row>
    <row r="19" ht="15" customHeight="1" s="36">
      <c r="A19" s="52" t="n"/>
      <c r="B19" s="52" t="n"/>
      <c r="C19" s="44" t="n"/>
      <c r="D19" s="52" t="n"/>
      <c r="E19" s="52" t="n"/>
      <c r="F19" s="44" t="n"/>
      <c r="G19" s="44" t="n"/>
      <c r="H19" s="44" t="n"/>
    </row>
    <row r="20" ht="15" customHeight="1" s="36">
      <c r="A20" s="52" t="n"/>
      <c r="B20" s="52" t="n"/>
      <c r="C20" s="44" t="n"/>
      <c r="D20" s="52" t="n"/>
      <c r="E20" s="52" t="n"/>
      <c r="F20" s="44" t="n"/>
      <c r="G20" s="44" t="n"/>
      <c r="H20" s="44" t="n"/>
    </row>
    <row r="21" ht="15" customHeight="1" s="36">
      <c r="A21" s="52" t="n"/>
      <c r="B21" s="52" t="n"/>
      <c r="C21" s="44" t="n"/>
      <c r="D21" s="52" t="n"/>
      <c r="E21" s="52" t="n"/>
      <c r="F21" s="44" t="n"/>
      <c r="G21" s="44" t="n"/>
      <c r="H21" s="44" t="n"/>
    </row>
    <row r="22" ht="15" customHeight="1" s="36">
      <c r="A22" s="52" t="n"/>
      <c r="B22" s="52" t="n"/>
      <c r="C22" s="44" t="n"/>
      <c r="D22" s="52" t="n"/>
      <c r="E22" s="52" t="n"/>
      <c r="F22" s="44" t="n"/>
      <c r="G22" s="44" t="n"/>
      <c r="H22" s="44" t="n"/>
    </row>
    <row r="23" ht="15" customHeight="1" s="36">
      <c r="A23" s="52" t="n"/>
      <c r="B23" s="52" t="n"/>
      <c r="C23" s="44" t="n"/>
      <c r="D23" s="52" t="n"/>
      <c r="E23" s="52" t="n"/>
      <c r="F23" s="44" t="n"/>
      <c r="G23" s="44" t="n"/>
      <c r="H23" s="44" t="n"/>
    </row>
    <row r="24" ht="15" customHeight="1" s="36">
      <c r="A24" s="52" t="n"/>
      <c r="B24" s="52" t="n"/>
      <c r="C24" s="44" t="n"/>
      <c r="D24" s="52" t="n"/>
      <c r="E24" s="52" t="n"/>
      <c r="F24" s="44" t="n"/>
      <c r="G24" s="44" t="n"/>
      <c r="H24" s="44" t="n"/>
    </row>
    <row r="25" ht="15" customHeight="1" s="36">
      <c r="A25" s="52" t="n"/>
      <c r="B25" s="52" t="n"/>
      <c r="C25" s="44" t="n"/>
      <c r="D25" s="52" t="n"/>
      <c r="E25" s="52" t="n"/>
      <c r="F25" s="44" t="n"/>
      <c r="G25" s="44" t="n"/>
      <c r="H25" s="44" t="n"/>
    </row>
    <row r="26" ht="15" customHeight="1" s="36">
      <c r="A26" s="52" t="n"/>
      <c r="B26" s="52" t="n"/>
      <c r="C26" s="44" t="n"/>
      <c r="D26" s="52" t="n"/>
      <c r="E26" s="52" t="n"/>
      <c r="F26" s="44" t="n"/>
      <c r="G26" s="44" t="n"/>
      <c r="H26" s="44" t="n"/>
    </row>
    <row r="27" ht="15" customHeight="1" s="36">
      <c r="A27" s="52" t="n"/>
      <c r="B27" s="52" t="n"/>
      <c r="C27" s="44" t="n"/>
      <c r="D27" s="52" t="n"/>
      <c r="E27" s="52" t="n"/>
      <c r="F27" s="44" t="n"/>
      <c r="G27" s="44" t="n"/>
      <c r="H27" s="44" t="n"/>
    </row>
    <row r="28" ht="15" customHeight="1" s="36">
      <c r="A28" s="52" t="n"/>
      <c r="B28" s="52" t="n"/>
      <c r="C28" s="44" t="n"/>
      <c r="D28" s="52" t="n"/>
      <c r="E28" s="52" t="n"/>
      <c r="F28" s="44" t="n"/>
      <c r="G28" s="44" t="n"/>
      <c r="H28" s="44" t="n"/>
    </row>
    <row r="29" ht="15" customHeight="1" s="36">
      <c r="A29" s="52" t="n"/>
      <c r="B29" s="52" t="n"/>
      <c r="C29" s="44" t="n"/>
      <c r="D29" s="52" t="n"/>
      <c r="E29" s="52" t="n"/>
      <c r="F29" s="44" t="n"/>
      <c r="G29" s="44" t="n"/>
      <c r="H29" s="44" t="n"/>
    </row>
    <row r="30" ht="15" customHeight="1" s="36">
      <c r="A30" s="52" t="n"/>
      <c r="B30" s="52" t="n"/>
      <c r="C30" s="44" t="n"/>
      <c r="D30" s="52" t="n"/>
      <c r="E30" s="52" t="n"/>
      <c r="F30" s="44" t="n"/>
      <c r="G30" s="44" t="n"/>
      <c r="H30" s="44" t="n"/>
    </row>
    <row r="31" ht="15" customHeight="1" s="36">
      <c r="A31" s="52" t="n"/>
      <c r="B31" s="52" t="n"/>
      <c r="C31" s="44" t="n"/>
      <c r="D31" s="52" t="n"/>
      <c r="E31" s="52" t="n"/>
      <c r="F31" s="44" t="n"/>
      <c r="G31" s="44" t="n"/>
      <c r="H31" s="44" t="n"/>
    </row>
    <row r="32" ht="15" customHeight="1" s="36">
      <c r="A32" s="52" t="n"/>
      <c r="B32" s="52" t="n"/>
      <c r="C32" s="44" t="n"/>
      <c r="D32" s="52" t="n"/>
      <c r="E32" s="52" t="n"/>
      <c r="F32" s="44" t="n"/>
      <c r="G32" s="44" t="n"/>
      <c r="H32" s="44" t="n"/>
    </row>
    <row r="33" ht="15" customHeight="1" s="36">
      <c r="A33" s="52" t="n"/>
      <c r="B33" s="52" t="n"/>
      <c r="C33" s="44" t="n"/>
      <c r="D33" s="52" t="n"/>
      <c r="E33" s="52" t="n"/>
      <c r="F33" s="44" t="n"/>
      <c r="G33" s="44" t="n"/>
      <c r="H33" s="44" t="n"/>
    </row>
    <row r="34" ht="15" customHeight="1" s="36">
      <c r="A34" s="52" t="n"/>
      <c r="B34" s="52" t="n"/>
      <c r="C34" s="44" t="n"/>
      <c r="D34" s="52" t="n"/>
      <c r="E34" s="52" t="n"/>
      <c r="F34" s="44" t="n"/>
      <c r="G34" s="44" t="n"/>
      <c r="H34" s="44" t="n"/>
    </row>
    <row r="35" ht="15" customHeight="1" s="36">
      <c r="A35" s="52" t="n"/>
      <c r="B35" s="52" t="n"/>
      <c r="C35" s="44" t="n"/>
      <c r="D35" s="52" t="n"/>
      <c r="E35" s="52" t="n"/>
      <c r="F35" s="44" t="n"/>
      <c r="G35" s="44" t="n"/>
      <c r="H35" s="44" t="n"/>
    </row>
    <row r="36" ht="15" customHeight="1" s="36">
      <c r="A36" s="52" t="n"/>
      <c r="B36" s="52" t="n"/>
      <c r="C36" s="44" t="n"/>
      <c r="D36" s="52" t="n"/>
      <c r="E36" s="52" t="n"/>
      <c r="F36" s="44" t="n"/>
      <c r="G36" s="44" t="n"/>
      <c r="H36" s="44" t="n"/>
    </row>
    <row r="37" ht="15" customHeight="1" s="36">
      <c r="A37" s="52" t="n"/>
      <c r="B37" s="52" t="n"/>
      <c r="C37" s="44" t="n"/>
      <c r="D37" s="52" t="n"/>
      <c r="E37" s="52" t="n"/>
      <c r="F37" s="44" t="n"/>
      <c r="G37" s="44" t="n"/>
      <c r="H37" s="44" t="n"/>
    </row>
    <row r="38" ht="15" customHeight="1" s="36">
      <c r="A38" s="52" t="n"/>
      <c r="B38" s="52" t="n"/>
      <c r="C38" s="44" t="n"/>
      <c r="D38" s="52" t="n"/>
      <c r="E38" s="52" t="n"/>
      <c r="F38" s="44" t="n"/>
      <c r="G38" s="44" t="n"/>
      <c r="H38" s="44" t="n"/>
    </row>
    <row r="39" ht="15" customHeight="1" s="36">
      <c r="A39" s="52" t="n"/>
      <c r="B39" s="52" t="n"/>
      <c r="C39" s="44" t="n"/>
      <c r="D39" s="52" t="n"/>
      <c r="E39" s="52" t="n"/>
      <c r="F39" s="44" t="n"/>
      <c r="G39" s="44" t="n"/>
      <c r="H39" s="44" t="n"/>
    </row>
    <row r="40" ht="15" customHeight="1" s="36">
      <c r="A40" s="52" t="n"/>
      <c r="B40" s="52" t="n"/>
      <c r="C40" s="44" t="n"/>
      <c r="D40" s="52" t="n"/>
      <c r="E40" s="52" t="n"/>
      <c r="F40" s="44" t="n"/>
      <c r="G40" s="44" t="n"/>
      <c r="H40" s="44" t="n"/>
    </row>
    <row r="41" ht="15" customHeight="1" s="36">
      <c r="A41" s="52" t="n"/>
      <c r="B41" s="52" t="n"/>
      <c r="C41" s="44" t="n"/>
      <c r="D41" s="52" t="n"/>
      <c r="E41" s="52" t="n"/>
      <c r="F41" s="44" t="n"/>
      <c r="G41" s="44" t="n"/>
      <c r="H41" s="44" t="n"/>
    </row>
    <row r="42" ht="15" customHeight="1" s="36">
      <c r="A42" s="52" t="n"/>
      <c r="B42" s="52" t="n"/>
      <c r="C42" s="44" t="n"/>
      <c r="D42" s="52" t="n"/>
      <c r="E42" s="52" t="n"/>
      <c r="F42" s="44" t="n"/>
      <c r="G42" s="44" t="n"/>
      <c r="H42" s="44" t="n"/>
    </row>
    <row r="43" ht="15" customHeight="1" s="36">
      <c r="A43" s="52" t="n"/>
      <c r="B43" s="52" t="n"/>
      <c r="C43" s="44" t="n"/>
      <c r="D43" s="52" t="n"/>
      <c r="E43" s="52" t="n"/>
      <c r="F43" s="44" t="n"/>
      <c r="G43" s="44" t="n"/>
      <c r="H43" s="44" t="n"/>
    </row>
    <row r="44" ht="15" customHeight="1" s="36">
      <c r="A44" s="52" t="n"/>
      <c r="B44" s="52" t="n"/>
      <c r="C44" s="44" t="n"/>
      <c r="D44" s="52" t="n"/>
      <c r="E44" s="52" t="n"/>
      <c r="F44" s="44" t="n"/>
      <c r="G44" s="44" t="n"/>
      <c r="H44" s="44" t="n"/>
    </row>
    <row r="45" ht="15" customHeight="1" s="36">
      <c r="A45" s="52" t="n"/>
      <c r="B45" s="52" t="n"/>
      <c r="C45" s="44" t="n"/>
      <c r="D45" s="52" t="n"/>
      <c r="E45" s="52" t="n"/>
      <c r="F45" s="44" t="n"/>
      <c r="G45" s="44" t="n"/>
      <c r="H45" s="44" t="n"/>
    </row>
    <row r="46" ht="15" customHeight="1" s="36">
      <c r="A46" s="52" t="n"/>
      <c r="B46" s="52" t="n"/>
      <c r="C46" s="44" t="n"/>
      <c r="D46" s="52" t="n"/>
      <c r="E46" s="52" t="n"/>
      <c r="F46" s="44" t="n"/>
      <c r="G46" s="44" t="n"/>
      <c r="H46" s="44" t="n"/>
    </row>
    <row r="47" ht="15" customHeight="1" s="36">
      <c r="A47" s="52" t="n"/>
      <c r="B47" s="52" t="n"/>
      <c r="C47" s="44" t="n"/>
      <c r="D47" s="52" t="n"/>
      <c r="E47" s="52" t="n"/>
      <c r="F47" s="44" t="n"/>
      <c r="G47" s="44" t="n"/>
      <c r="H47" s="44" t="n"/>
    </row>
    <row r="48" ht="15" customHeight="1" s="36">
      <c r="A48" s="52" t="n"/>
      <c r="B48" s="52" t="n"/>
      <c r="C48" s="44" t="n"/>
      <c r="D48" s="52" t="n"/>
      <c r="E48" s="52" t="n"/>
      <c r="F48" s="44" t="n"/>
      <c r="G48" s="44" t="n"/>
      <c r="H48" s="44" t="n"/>
    </row>
    <row r="49" ht="15" customHeight="1" s="36">
      <c r="A49" s="52" t="n"/>
      <c r="B49" s="52" t="n"/>
      <c r="C49" s="44" t="n"/>
      <c r="D49" s="52" t="n"/>
      <c r="E49" s="52" t="n"/>
      <c r="F49" s="44" t="n"/>
      <c r="G49" s="44" t="n"/>
      <c r="H49" s="44" t="n"/>
    </row>
    <row r="50" ht="15" customHeight="1" s="36">
      <c r="A50" s="52" t="n"/>
      <c r="B50" s="52" t="n"/>
      <c r="C50" s="44" t="n"/>
      <c r="D50" s="52" t="n"/>
      <c r="E50" s="52" t="n"/>
      <c r="F50" s="44" t="n"/>
      <c r="G50" s="44" t="n"/>
      <c r="H50" s="44" t="n"/>
    </row>
    <row r="51" ht="15" customHeight="1" s="36">
      <c r="A51" s="52" t="n"/>
      <c r="B51" s="52" t="n"/>
      <c r="C51" s="44" t="n"/>
      <c r="D51" s="52" t="n"/>
      <c r="E51" s="52" t="n"/>
      <c r="F51" s="44" t="n"/>
      <c r="G51" s="44" t="n"/>
      <c r="H51" s="44" t="n"/>
    </row>
    <row r="52" ht="15" customHeight="1" s="36">
      <c r="A52" s="52" t="n"/>
      <c r="B52" s="52" t="n"/>
      <c r="C52" s="44" t="n"/>
      <c r="D52" s="52" t="n"/>
      <c r="E52" s="52" t="n"/>
      <c r="F52" s="44" t="n"/>
      <c r="G52" s="44" t="n"/>
      <c r="H52" s="44" t="n"/>
    </row>
    <row r="53" ht="15" customHeight="1" s="36">
      <c r="A53" s="52" t="n"/>
      <c r="B53" s="52" t="n"/>
      <c r="C53" s="44" t="n"/>
      <c r="D53" s="52" t="n"/>
      <c r="E53" s="52" t="n"/>
      <c r="F53" s="44" t="n"/>
      <c r="G53" s="44" t="n"/>
      <c r="H53" s="44" t="n"/>
    </row>
    <row r="54" ht="15" customHeight="1" s="36">
      <c r="A54" s="52" t="n"/>
      <c r="B54" s="52" t="n"/>
      <c r="C54" s="44" t="n"/>
      <c r="D54" s="52" t="n"/>
      <c r="E54" s="52" t="n"/>
      <c r="F54" s="44" t="n"/>
      <c r="G54" s="44" t="n"/>
      <c r="H54" s="44" t="n"/>
    </row>
    <row r="55" ht="15" customHeight="1" s="36">
      <c r="A55" s="52" t="n"/>
      <c r="B55" s="52" t="n"/>
      <c r="C55" s="44" t="n"/>
      <c r="D55" s="52" t="n"/>
      <c r="E55" s="52" t="n"/>
      <c r="F55" s="44" t="n"/>
      <c r="G55" s="44" t="n"/>
      <c r="H55" s="44" t="n"/>
    </row>
    <row r="56" ht="15" customHeight="1" s="36">
      <c r="A56" s="52" t="n"/>
      <c r="B56" s="52" t="n"/>
      <c r="C56" s="44" t="n"/>
      <c r="D56" s="52" t="n"/>
      <c r="E56" s="52" t="n"/>
      <c r="F56" s="44" t="n"/>
      <c r="G56" s="44" t="n"/>
      <c r="H56" s="44" t="n"/>
    </row>
    <row r="57" ht="15" customHeight="1" s="36">
      <c r="A57" s="52" t="n"/>
      <c r="B57" s="52" t="n"/>
      <c r="C57" s="44" t="n"/>
      <c r="D57" s="52" t="n"/>
      <c r="E57" s="52" t="n"/>
      <c r="F57" s="44" t="n"/>
      <c r="G57" s="44" t="n"/>
      <c r="H57" s="44" t="n"/>
    </row>
    <row r="58" ht="15" customHeight="1" s="36">
      <c r="A58" s="52" t="n"/>
      <c r="B58" s="52" t="n"/>
      <c r="C58" s="44" t="n"/>
      <c r="D58" s="52" t="n"/>
      <c r="E58" s="52" t="n"/>
      <c r="F58" s="44" t="n"/>
      <c r="G58" s="44" t="n"/>
      <c r="H58" s="44" t="n"/>
    </row>
    <row r="59" ht="15" customHeight="1" s="36">
      <c r="A59" s="52" t="n"/>
      <c r="B59" s="52" t="n"/>
      <c r="C59" s="44" t="n"/>
      <c r="D59" s="52" t="n"/>
      <c r="E59" s="52" t="n"/>
      <c r="F59" s="44" t="n"/>
      <c r="G59" s="44" t="n"/>
      <c r="H59" s="44" t="n"/>
    </row>
    <row r="60" ht="15" customHeight="1" s="36">
      <c r="A60" s="52" t="n"/>
      <c r="B60" s="52" t="n"/>
      <c r="C60" s="44" t="n"/>
      <c r="D60" s="52" t="n"/>
      <c r="E60" s="52" t="n"/>
      <c r="F60" s="44" t="n"/>
      <c r="G60" s="44" t="n"/>
      <c r="H60" s="44" t="n"/>
    </row>
    <row r="61" ht="15" customHeight="1" s="36">
      <c r="A61" s="52" t="n"/>
      <c r="B61" s="52" t="n"/>
      <c r="C61" s="44" t="n"/>
      <c r="D61" s="52" t="n"/>
      <c r="E61" s="52" t="n"/>
      <c r="F61" s="44" t="n"/>
      <c r="G61" s="44" t="n"/>
      <c r="H61" s="44" t="n"/>
    </row>
    <row r="62" ht="15" customHeight="1" s="36">
      <c r="A62" s="52" t="n"/>
      <c r="B62" s="52" t="n"/>
      <c r="C62" s="44" t="n"/>
      <c r="D62" s="52" t="n"/>
      <c r="E62" s="52" t="n"/>
      <c r="F62" s="44" t="n"/>
      <c r="G62" s="44" t="n"/>
      <c r="H62" s="44" t="n"/>
    </row>
    <row r="63" ht="15" customHeight="1" s="36">
      <c r="A63" s="52" t="n"/>
      <c r="B63" s="52" t="n"/>
      <c r="C63" s="44" t="n"/>
      <c r="D63" s="52" t="n"/>
      <c r="E63" s="52" t="n"/>
      <c r="F63" s="44" t="n"/>
      <c r="G63" s="44" t="n"/>
      <c r="H63" s="44" t="n"/>
    </row>
    <row r="64" ht="15" customHeight="1" s="36">
      <c r="A64" s="52" t="n"/>
      <c r="B64" s="52" t="n"/>
      <c r="C64" s="44" t="n"/>
      <c r="D64" s="52" t="n"/>
      <c r="E64" s="52" t="n"/>
      <c r="F64" s="44" t="n"/>
      <c r="G64" s="44" t="n"/>
      <c r="H64" s="44" t="n"/>
    </row>
    <row r="65" ht="15" customHeight="1" s="36">
      <c r="A65" s="52" t="n"/>
      <c r="B65" s="52" t="n"/>
      <c r="C65" s="44" t="n"/>
      <c r="D65" s="52" t="n"/>
      <c r="E65" s="52" t="n"/>
      <c r="F65" s="44" t="n"/>
      <c r="G65" s="44" t="n"/>
      <c r="H65" s="44" t="n"/>
    </row>
    <row r="66" ht="15" customHeight="1" s="36">
      <c r="A66" s="52" t="n"/>
      <c r="B66" s="52" t="n"/>
      <c r="C66" s="44" t="n"/>
      <c r="D66" s="52" t="n"/>
      <c r="E66" s="52" t="n"/>
      <c r="F66" s="44" t="n"/>
      <c r="G66" s="44" t="n"/>
      <c r="H66" s="44" t="n"/>
    </row>
    <row r="67" ht="15" customHeight="1" s="36">
      <c r="A67" s="52" t="n"/>
      <c r="B67" s="52" t="n"/>
      <c r="C67" s="44" t="n"/>
      <c r="D67" s="52" t="n"/>
      <c r="E67" s="52" t="n"/>
      <c r="F67" s="44" t="n"/>
      <c r="G67" s="44" t="n"/>
      <c r="H67" s="44" t="n"/>
    </row>
    <row r="68" ht="15" customHeight="1" s="36">
      <c r="A68" s="52" t="n"/>
      <c r="B68" s="52" t="n"/>
      <c r="C68" s="44" t="n"/>
      <c r="D68" s="52" t="n"/>
      <c r="E68" s="52" t="n"/>
      <c r="F68" s="44" t="n"/>
      <c r="G68" s="44" t="n"/>
      <c r="H68" s="44" t="n"/>
    </row>
    <row r="69" ht="15" customHeight="1" s="36">
      <c r="A69" s="52" t="n"/>
      <c r="B69" s="52" t="n"/>
      <c r="C69" s="44" t="n"/>
      <c r="D69" s="52" t="n"/>
      <c r="E69" s="52" t="n"/>
      <c r="F69" s="44" t="n"/>
      <c r="G69" s="44" t="n"/>
      <c r="H69" s="44" t="n"/>
    </row>
    <row r="70" ht="15" customHeight="1" s="36">
      <c r="A70" s="52" t="n"/>
      <c r="B70" s="52" t="n"/>
      <c r="C70" s="44" t="n"/>
      <c r="D70" s="52" t="n"/>
      <c r="E70" s="52" t="n"/>
      <c r="F70" s="44" t="n"/>
      <c r="G70" s="44" t="n"/>
      <c r="H70" s="44" t="n"/>
    </row>
    <row r="71" ht="15" customHeight="1" s="36">
      <c r="A71" s="52" t="n"/>
      <c r="B71" s="52" t="n"/>
      <c r="C71" s="44" t="n"/>
      <c r="D71" s="52" t="n"/>
      <c r="E71" s="52" t="n"/>
      <c r="F71" s="44" t="n"/>
      <c r="G71" s="44" t="n"/>
      <c r="H71" s="44" t="n"/>
    </row>
    <row r="72" ht="15" customHeight="1" s="36">
      <c r="A72" s="52" t="n"/>
      <c r="B72" s="52" t="n"/>
      <c r="C72" s="44" t="n"/>
      <c r="D72" s="52" t="n"/>
      <c r="E72" s="52" t="n"/>
      <c r="F72" s="44" t="n"/>
      <c r="G72" s="44" t="n"/>
      <c r="H72" s="44" t="n"/>
    </row>
    <row r="73" ht="15" customHeight="1" s="36">
      <c r="A73" s="52" t="n"/>
      <c r="B73" s="52" t="n"/>
      <c r="C73" s="44" t="n"/>
      <c r="D73" s="52" t="n"/>
      <c r="E73" s="52" t="n"/>
      <c r="F73" s="44" t="n"/>
      <c r="G73" s="44" t="n"/>
      <c r="H73" s="44" t="n"/>
    </row>
    <row r="74" ht="15" customHeight="1" s="36">
      <c r="A74" s="52" t="n"/>
      <c r="B74" s="52" t="n"/>
      <c r="C74" s="44" t="n"/>
      <c r="D74" s="52" t="n"/>
      <c r="E74" s="52" t="n"/>
      <c r="F74" s="44" t="n"/>
      <c r="G74" s="44" t="n"/>
      <c r="H74" s="44" t="n"/>
    </row>
    <row r="75" ht="15" customHeight="1" s="36">
      <c r="A75" s="52" t="n"/>
      <c r="B75" s="52" t="n"/>
      <c r="C75" s="44" t="n"/>
      <c r="D75" s="52" t="n"/>
      <c r="E75" s="52" t="n"/>
      <c r="F75" s="44" t="n"/>
      <c r="G75" s="44" t="n"/>
      <c r="H75" s="44" t="n"/>
    </row>
    <row r="76" ht="15" customHeight="1" s="36">
      <c r="A76" s="52" t="n"/>
      <c r="B76" s="52" t="n"/>
      <c r="C76" s="44" t="n"/>
      <c r="D76" s="52" t="n"/>
      <c r="E76" s="52" t="n"/>
      <c r="F76" s="44" t="n"/>
      <c r="G76" s="44" t="n"/>
      <c r="H76" s="44" t="n"/>
    </row>
    <row r="77" ht="15" customHeight="1" s="36">
      <c r="A77" s="52" t="n"/>
      <c r="B77" s="52" t="n"/>
      <c r="C77" s="44" t="n"/>
      <c r="D77" s="52" t="n"/>
      <c r="E77" s="52" t="n"/>
      <c r="F77" s="44" t="n"/>
      <c r="G77" s="44" t="n"/>
      <c r="H77" s="44" t="n"/>
    </row>
    <row r="78" ht="15" customHeight="1" s="36">
      <c r="A78" s="52" t="n"/>
      <c r="B78" s="52" t="n"/>
      <c r="C78" s="44" t="n"/>
      <c r="D78" s="52" t="n"/>
      <c r="E78" s="52" t="n"/>
      <c r="F78" s="44" t="n"/>
      <c r="G78" s="44" t="n"/>
      <c r="H78" s="44" t="n"/>
    </row>
    <row r="79" ht="15" customHeight="1" s="36">
      <c r="A79" s="52" t="n"/>
      <c r="B79" s="52" t="n"/>
      <c r="C79" s="44" t="n"/>
      <c r="D79" s="52" t="n"/>
      <c r="E79" s="52" t="n"/>
      <c r="F79" s="44" t="n"/>
      <c r="G79" s="44" t="n"/>
      <c r="H79" s="44" t="n"/>
    </row>
    <row r="80" ht="15" customHeight="1" s="36">
      <c r="A80" s="52" t="n"/>
      <c r="B80" s="52" t="n"/>
      <c r="C80" s="44" t="n"/>
      <c r="D80" s="52" t="n"/>
      <c r="E80" s="52" t="n"/>
      <c r="F80" s="44" t="n"/>
      <c r="G80" s="44" t="n"/>
      <c r="H80" s="44" t="n"/>
    </row>
    <row r="81" ht="15" customHeight="1" s="36">
      <c r="A81" s="52" t="n"/>
      <c r="B81" s="52" t="n"/>
      <c r="C81" s="44" t="n"/>
      <c r="D81" s="52" t="n"/>
      <c r="E81" s="52" t="n"/>
      <c r="F81" s="44" t="n"/>
      <c r="G81" s="44" t="n"/>
      <c r="H81" s="44" t="n"/>
    </row>
    <row r="82" ht="15" customHeight="1" s="36">
      <c r="A82" s="52" t="n"/>
      <c r="B82" s="52" t="n"/>
      <c r="C82" s="44" t="n"/>
      <c r="D82" s="52" t="n"/>
      <c r="E82" s="52" t="n"/>
      <c r="F82" s="44" t="n"/>
      <c r="G82" s="44" t="n"/>
      <c r="H82" s="44" t="n"/>
    </row>
    <row r="83" ht="15" customHeight="1" s="36">
      <c r="A83" s="52" t="n"/>
      <c r="B83" s="52" t="n"/>
      <c r="C83" s="44" t="n"/>
      <c r="D83" s="52" t="n"/>
      <c r="E83" s="52" t="n"/>
      <c r="F83" s="44" t="n"/>
      <c r="G83" s="44" t="n"/>
      <c r="H83" s="44" t="n"/>
    </row>
    <row r="84" ht="15" customHeight="1" s="36">
      <c r="A84" s="52" t="n"/>
      <c r="B84" s="52" t="n"/>
      <c r="C84" s="44" t="n"/>
      <c r="D84" s="52" t="n"/>
      <c r="E84" s="52" t="n"/>
      <c r="F84" s="44" t="n"/>
      <c r="G84" s="44" t="n"/>
      <c r="H84" s="44" t="n"/>
    </row>
    <row r="85" ht="15" customHeight="1" s="36">
      <c r="A85" s="52" t="n"/>
      <c r="B85" s="52" t="n"/>
      <c r="C85" s="44" t="n"/>
      <c r="D85" s="52" t="n"/>
      <c r="E85" s="52" t="n"/>
      <c r="F85" s="44" t="n"/>
      <c r="G85" s="44" t="n"/>
      <c r="H85" s="44" t="n"/>
    </row>
    <row r="86" ht="15" customHeight="1" s="36">
      <c r="A86" s="52" t="n"/>
      <c r="B86" s="52" t="n"/>
      <c r="C86" s="44" t="n"/>
      <c r="D86" s="52" t="n"/>
      <c r="E86" s="52" t="n"/>
      <c r="F86" s="44" t="n"/>
      <c r="G86" s="44" t="n"/>
      <c r="H86" s="44" t="n"/>
    </row>
    <row r="87" ht="15" customHeight="1" s="36">
      <c r="A87" s="52" t="n"/>
      <c r="B87" s="52" t="n"/>
      <c r="C87" s="44" t="n"/>
      <c r="D87" s="52" t="n"/>
      <c r="E87" s="52" t="n"/>
      <c r="F87" s="44" t="n"/>
      <c r="G87" s="44" t="n"/>
      <c r="H87" s="44" t="n"/>
    </row>
    <row r="88" ht="15" customHeight="1" s="36">
      <c r="A88" s="52" t="n"/>
      <c r="B88" s="52" t="n"/>
      <c r="C88" s="44" t="n"/>
      <c r="D88" s="52" t="n"/>
      <c r="E88" s="52" t="n"/>
      <c r="F88" s="44" t="n"/>
      <c r="G88" s="44" t="n"/>
      <c r="H88" s="44" t="n"/>
    </row>
    <row r="89" ht="15" customHeight="1" s="36">
      <c r="A89" s="52" t="n"/>
      <c r="B89" s="52" t="n"/>
      <c r="C89" s="44" t="n"/>
      <c r="D89" s="52" t="n"/>
      <c r="E89" s="52" t="n"/>
      <c r="F89" s="44" t="n"/>
      <c r="G89" s="44" t="n"/>
      <c r="H89" s="44" t="n"/>
    </row>
    <row r="90" ht="15" customHeight="1" s="36">
      <c r="A90" s="52" t="n"/>
      <c r="B90" s="52" t="n"/>
      <c r="C90" s="44" t="n"/>
      <c r="D90" s="52" t="n"/>
      <c r="E90" s="52" t="n"/>
      <c r="F90" s="44" t="n"/>
      <c r="G90" s="44" t="n"/>
      <c r="H90" s="44" t="n"/>
    </row>
    <row r="91" ht="15" customHeight="1" s="36">
      <c r="A91" s="52" t="n"/>
      <c r="B91" s="52" t="n"/>
      <c r="C91" s="44" t="n"/>
      <c r="D91" s="52" t="n"/>
      <c r="E91" s="52" t="n"/>
      <c r="F91" s="44" t="n"/>
      <c r="G91" s="44" t="n"/>
      <c r="H91" s="44" t="n"/>
    </row>
    <row r="92" ht="15" customHeight="1" s="36">
      <c r="A92" s="52" t="n"/>
      <c r="B92" s="52" t="n"/>
      <c r="C92" s="44" t="n"/>
      <c r="D92" s="52" t="n"/>
      <c r="E92" s="52" t="n"/>
      <c r="F92" s="44" t="n"/>
      <c r="G92" s="44" t="n"/>
      <c r="H92" s="44" t="n"/>
    </row>
    <row r="93" ht="15" customHeight="1" s="36">
      <c r="A93" s="52" t="n"/>
      <c r="B93" s="52" t="n"/>
      <c r="C93" s="44" t="n"/>
      <c r="D93" s="52" t="n"/>
      <c r="E93" s="52" t="n"/>
      <c r="F93" s="44" t="n"/>
      <c r="G93" s="44" t="n"/>
      <c r="H93" s="44" t="n"/>
    </row>
    <row r="94" ht="15" customHeight="1" s="36">
      <c r="A94" s="52" t="n"/>
      <c r="B94" s="52" t="n"/>
      <c r="C94" s="44" t="n"/>
      <c r="D94" s="52" t="n"/>
      <c r="E94" s="52" t="n"/>
      <c r="F94" s="44" t="n"/>
      <c r="G94" s="44" t="n"/>
      <c r="H94" s="44" t="n"/>
    </row>
    <row r="95" ht="15" customHeight="1" s="36">
      <c r="A95" s="52" t="n"/>
      <c r="B95" s="52" t="n"/>
      <c r="C95" s="44" t="n"/>
      <c r="D95" s="52" t="n"/>
      <c r="E95" s="52" t="n"/>
      <c r="F95" s="44" t="n"/>
      <c r="G95" s="44" t="n"/>
      <c r="H95" s="44" t="n"/>
    </row>
    <row r="96" ht="15" customHeight="1" s="36">
      <c r="A96" s="52" t="n"/>
      <c r="B96" s="52" t="n"/>
      <c r="C96" s="44" t="n"/>
      <c r="D96" s="52" t="n"/>
      <c r="E96" s="52" t="n"/>
      <c r="F96" s="44" t="n"/>
      <c r="G96" s="44" t="n"/>
      <c r="H96" s="44" t="n"/>
    </row>
    <row r="97" ht="15" customHeight="1" s="36">
      <c r="A97" s="52" t="n"/>
      <c r="B97" s="52" t="n"/>
      <c r="C97" s="44" t="n"/>
      <c r="D97" s="52" t="n"/>
      <c r="E97" s="52" t="n"/>
      <c r="F97" s="44" t="n"/>
      <c r="G97" s="44" t="n"/>
      <c r="H97" s="44" t="n"/>
    </row>
    <row r="98" ht="15" customHeight="1" s="36">
      <c r="A98" s="52" t="n"/>
      <c r="B98" s="52" t="n"/>
      <c r="C98" s="44" t="n"/>
      <c r="D98" s="52" t="n"/>
      <c r="E98" s="52" t="n"/>
      <c r="F98" s="44" t="n"/>
      <c r="G98" s="44" t="n"/>
      <c r="H98" s="44" t="n"/>
    </row>
    <row r="99" ht="15" customHeight="1" s="36">
      <c r="A99" s="52" t="n"/>
      <c r="B99" s="52" t="n"/>
      <c r="C99" s="44" t="n"/>
      <c r="D99" s="52" t="n"/>
      <c r="E99" s="52" t="n"/>
      <c r="F99" s="44" t="n"/>
      <c r="G99" s="44" t="n"/>
      <c r="H99" s="44" t="n"/>
    </row>
    <row r="100" ht="15" customHeight="1" s="36">
      <c r="A100" s="52" t="n"/>
      <c r="B100" s="52" t="n"/>
      <c r="C100" s="44" t="n"/>
      <c r="D100" s="52" t="n"/>
      <c r="E100" s="52" t="n"/>
      <c r="F100" s="44" t="n"/>
      <c r="G100" s="44" t="n"/>
      <c r="H100" s="44" t="n"/>
    </row>
    <row r="101" ht="15" customHeight="1" s="36">
      <c r="A101" s="52" t="n"/>
      <c r="B101" s="52" t="n"/>
      <c r="C101" s="44" t="n"/>
      <c r="D101" s="52" t="n"/>
      <c r="E101" s="52" t="n"/>
      <c r="F101" s="44" t="n"/>
      <c r="G101" s="44" t="n"/>
      <c r="H101" s="44" t="n"/>
    </row>
    <row r="102" ht="15" customHeight="1" s="36">
      <c r="A102" s="52" t="n"/>
      <c r="B102" s="52" t="n"/>
      <c r="C102" s="44" t="n"/>
      <c r="D102" s="52" t="n"/>
      <c r="E102" s="52" t="n"/>
      <c r="F102" s="44" t="n"/>
      <c r="G102" s="44" t="n"/>
      <c r="H102" s="44" t="n"/>
    </row>
    <row r="103" ht="15" customHeight="1" s="36">
      <c r="A103" s="52" t="n"/>
      <c r="B103" s="52" t="n"/>
      <c r="C103" s="44" t="n"/>
      <c r="D103" s="52" t="n"/>
      <c r="E103" s="52" t="n"/>
      <c r="F103" s="44" t="n"/>
      <c r="G103" s="44" t="n"/>
      <c r="H103" s="44" t="n"/>
    </row>
    <row r="104" ht="15" customHeight="1" s="36">
      <c r="A104" s="52" t="n"/>
      <c r="B104" s="52" t="n"/>
      <c r="C104" s="44" t="n"/>
      <c r="D104" s="52" t="n"/>
      <c r="E104" s="52" t="n"/>
      <c r="F104" s="44" t="n"/>
      <c r="G104" s="44" t="n"/>
      <c r="H104" s="44" t="n"/>
    </row>
    <row r="105" ht="15" customHeight="1" s="36">
      <c r="A105" s="52" t="n"/>
      <c r="B105" s="52" t="n"/>
      <c r="C105" s="44" t="n"/>
      <c r="D105" s="52" t="n"/>
      <c r="E105" s="52" t="n"/>
      <c r="F105" s="44" t="n"/>
      <c r="G105" s="44" t="n"/>
      <c r="H105" s="44" t="n"/>
    </row>
    <row r="106" ht="15" customHeight="1" s="36">
      <c r="A106" s="52" t="n"/>
      <c r="B106" s="52" t="n"/>
      <c r="C106" s="44" t="n"/>
      <c r="D106" s="52" t="n"/>
      <c r="E106" s="52" t="n"/>
      <c r="F106" s="44" t="n"/>
      <c r="G106" s="44" t="n"/>
      <c r="H106" s="44" t="n"/>
    </row>
    <row r="107" ht="15" customHeight="1" s="36">
      <c r="A107" s="52" t="n"/>
      <c r="B107" s="52" t="n"/>
      <c r="C107" s="44" t="n"/>
      <c r="D107" s="52" t="n"/>
      <c r="E107" s="52" t="n"/>
      <c r="F107" s="44" t="n"/>
      <c r="G107" s="44" t="n"/>
      <c r="H107" s="44" t="n"/>
    </row>
    <row r="108" ht="15" customHeight="1" s="36">
      <c r="A108" s="52" t="n"/>
      <c r="B108" s="52" t="n"/>
      <c r="C108" s="44" t="n"/>
      <c r="D108" s="52" t="n"/>
      <c r="E108" s="52" t="n"/>
      <c r="F108" s="44" t="n"/>
      <c r="G108" s="44" t="n"/>
      <c r="H108" s="44" t="n"/>
    </row>
    <row r="109" ht="15" customHeight="1" s="36">
      <c r="A109" s="52" t="n"/>
      <c r="B109" s="52" t="n"/>
      <c r="C109" s="44" t="n"/>
      <c r="D109" s="52" t="n"/>
      <c r="E109" s="52" t="n"/>
      <c r="F109" s="44" t="n"/>
      <c r="G109" s="44" t="n"/>
      <c r="H109" s="44" t="n"/>
    </row>
    <row r="110" ht="15" customHeight="1" s="36">
      <c r="A110" s="52" t="n"/>
      <c r="B110" s="52" t="n"/>
      <c r="C110" s="44" t="n"/>
      <c r="D110" s="52" t="n"/>
      <c r="E110" s="52" t="n"/>
      <c r="F110" s="44" t="n"/>
      <c r="G110" s="44" t="n"/>
      <c r="H110" s="44" t="n"/>
    </row>
    <row r="111" ht="15" customHeight="1" s="36">
      <c r="A111" s="52" t="n"/>
      <c r="B111" s="52" t="n"/>
      <c r="C111" s="44" t="n"/>
      <c r="D111" s="52" t="n"/>
      <c r="E111" s="52" t="n"/>
      <c r="F111" s="44" t="n"/>
      <c r="G111" s="44" t="n"/>
      <c r="H111" s="44" t="n"/>
    </row>
    <row r="112" ht="15" customHeight="1" s="36">
      <c r="A112" s="52" t="n"/>
      <c r="B112" s="52" t="n"/>
      <c r="C112" s="44" t="n"/>
      <c r="D112" s="52" t="n"/>
      <c r="E112" s="52" t="n"/>
      <c r="F112" s="44" t="n"/>
      <c r="G112" s="44" t="n"/>
      <c r="H112" s="44" t="n"/>
    </row>
    <row r="113" ht="15" customHeight="1" s="36">
      <c r="A113" s="52" t="n"/>
      <c r="B113" s="52" t="n"/>
      <c r="C113" s="44" t="n"/>
      <c r="D113" s="52" t="n"/>
      <c r="E113" s="52" t="n"/>
      <c r="F113" s="44" t="n"/>
      <c r="G113" s="44" t="n"/>
      <c r="H113" s="44" t="n"/>
    </row>
    <row r="114" ht="15" customHeight="1" s="36">
      <c r="A114" s="52" t="n"/>
      <c r="B114" s="52" t="n"/>
      <c r="C114" s="44" t="n"/>
      <c r="D114" s="52" t="n"/>
      <c r="E114" s="52" t="n"/>
      <c r="F114" s="44" t="n"/>
      <c r="G114" s="44" t="n"/>
      <c r="H114" s="44" t="n"/>
    </row>
    <row r="115" ht="15" customHeight="1" s="36">
      <c r="A115" s="52" t="n"/>
      <c r="B115" s="52" t="n"/>
      <c r="C115" s="44" t="n"/>
      <c r="D115" s="52" t="n"/>
      <c r="E115" s="52" t="n"/>
      <c r="F115" s="44" t="n"/>
      <c r="G115" s="44" t="n"/>
      <c r="H115" s="44" t="n"/>
    </row>
    <row r="116" ht="15" customHeight="1" s="36">
      <c r="A116" s="52" t="n"/>
      <c r="B116" s="52" t="n"/>
      <c r="C116" s="44" t="n"/>
      <c r="D116" s="52" t="n"/>
      <c r="E116" s="52" t="n"/>
      <c r="F116" s="44" t="n"/>
      <c r="G116" s="44" t="n"/>
      <c r="H116" s="44" t="n"/>
    </row>
    <row r="117" ht="15" customHeight="1" s="36">
      <c r="A117" s="52" t="n"/>
      <c r="B117" s="52" t="n"/>
      <c r="C117" s="44" t="n"/>
      <c r="D117" s="52" t="n"/>
      <c r="E117" s="52" t="n"/>
      <c r="F117" s="44" t="n"/>
      <c r="G117" s="44" t="n"/>
      <c r="H117" s="44" t="n"/>
    </row>
    <row r="118" ht="15" customHeight="1" s="36">
      <c r="A118" s="52" t="n"/>
      <c r="B118" s="52" t="n"/>
      <c r="C118" s="44" t="n"/>
      <c r="D118" s="52" t="n"/>
      <c r="E118" s="52" t="n"/>
      <c r="F118" s="44" t="n"/>
      <c r="G118" s="44" t="n"/>
      <c r="H118" s="44" t="n"/>
    </row>
    <row r="119" ht="15" customHeight="1" s="36">
      <c r="A119" s="52" t="n"/>
      <c r="B119" s="52" t="n"/>
      <c r="C119" s="44" t="n"/>
      <c r="D119" s="52" t="n"/>
      <c r="E119" s="52" t="n"/>
      <c r="F119" s="44" t="n"/>
      <c r="G119" s="44" t="n"/>
      <c r="H119" s="44" t="n"/>
    </row>
    <row r="120" ht="15" customHeight="1" s="36">
      <c r="A120" s="52" t="n"/>
      <c r="B120" s="52" t="n"/>
      <c r="C120" s="44" t="n"/>
      <c r="D120" s="52" t="n"/>
      <c r="E120" s="52" t="n"/>
      <c r="F120" s="44" t="n"/>
      <c r="G120" s="44" t="n"/>
      <c r="H120" s="44" t="n"/>
    </row>
    <row r="121" ht="15" customHeight="1" s="36">
      <c r="A121" s="52" t="n"/>
      <c r="B121" s="52" t="n"/>
      <c r="C121" s="44" t="n"/>
      <c r="D121" s="52" t="n"/>
      <c r="E121" s="52" t="n"/>
      <c r="F121" s="44" t="n"/>
      <c r="G121" s="44" t="n"/>
      <c r="H121" s="44" t="n"/>
    </row>
    <row r="122" ht="15" customHeight="1" s="36">
      <c r="A122" s="52" t="n"/>
      <c r="B122" s="52" t="n"/>
      <c r="C122" s="44" t="n"/>
      <c r="D122" s="52" t="n"/>
      <c r="E122" s="52" t="n"/>
      <c r="F122" s="44" t="n"/>
      <c r="G122" s="44" t="n"/>
      <c r="H122" s="44" t="n"/>
    </row>
    <row r="123" ht="15" customHeight="1" s="36">
      <c r="A123" s="52" t="n"/>
      <c r="B123" s="52" t="n"/>
      <c r="C123" s="44" t="n"/>
      <c r="D123" s="52" t="n"/>
      <c r="E123" s="52" t="n"/>
      <c r="F123" s="44" t="n"/>
      <c r="G123" s="44" t="n"/>
      <c r="H123" s="44" t="n"/>
    </row>
    <row r="124" ht="15" customHeight="1" s="36">
      <c r="A124" s="52" t="n"/>
      <c r="B124" s="52" t="n"/>
      <c r="C124" s="44" t="n"/>
      <c r="D124" s="52" t="n"/>
      <c r="E124" s="52" t="n"/>
      <c r="F124" s="44" t="n"/>
      <c r="G124" s="44" t="n"/>
      <c r="H124" s="44" t="n"/>
    </row>
  </sheetData>
  <mergeCells count="2">
    <mergeCell ref="A2:H2"/>
    <mergeCell ref="A1:H1"/>
  </mergeCells>
  <dataValidations count="4">
    <dataValidation sqref="A5:A124" showDropDown="0" showInputMessage="0" showErrorMessage="0" allowBlank="1" type="list" errorStyle="stop" operator="between">
      <formula1>選項!$K$2:$K$3</formula1>
      <formula2>0</formula2>
    </dataValidation>
    <dataValidation sqref="B5:B124" showDropDown="0" showInputMessage="0" showErrorMessage="0" allowBlank="1" type="list" errorStyle="stop" operator="between">
      <formula1>選項!$B$2:$B$72</formula1>
      <formula2>0</formula2>
    </dataValidation>
    <dataValidation sqref="D5:D124" showDropDown="0" showInputMessage="0" showErrorMessage="0" allowBlank="1" type="list" errorStyle="stop" operator="between">
      <formula1>選項!$C$2:$C$6</formula1>
      <formula2>0</formula2>
    </dataValidation>
    <dataValidation sqref="E5:E124" showDropDown="0" showInputMessage="0" showErrorMessage="0" allowBlank="1" type="list" errorStyle="stop" operator="between">
      <formula1>選項!$D$2:$D$8</formula1>
      <formula2>0</formula2>
    </dataValidation>
  </dataValidation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5" min="1" max="1"/>
    <col width="8" customWidth="1" style="35" min="2" max="2"/>
    <col width="9" customWidth="1" style="35" min="3" max="3"/>
    <col width="16" customWidth="1" style="35" min="4" max="4"/>
    <col width="10" customWidth="1" style="35" min="5" max="5"/>
    <col width="7" customWidth="1" style="35" min="6" max="6"/>
    <col width="26" customWidth="1" style="35" min="7" max="7"/>
  </cols>
  <sheetData>
    <row r="1" ht="27.75" customHeight="1" s="36">
      <c r="A1" s="48" t="inlineStr">
        <is>
          <t>5. 共同時段</t>
        </is>
      </c>
    </row>
    <row r="2" ht="36" customHeight="1" s="36">
      <c r="A2" s="49" t="inlineStr">
        <is>
          <t>學校共同課、年段共同時段等全部要先鎖住的時段。已填好目前確認的內容，請補上空白處。</t>
        </is>
      </c>
    </row>
    <row r="3" ht="17.15" customHeight="1" s="36">
      <c r="A3" s="39" t="inlineStr">
        <is>
          <t>對象</t>
        </is>
      </c>
      <c r="B3" s="39" t="inlineStr">
        <is>
          <t>星期</t>
        </is>
      </c>
      <c r="C3" s="39" t="inlineStr">
        <is>
          <t>節次</t>
        </is>
      </c>
      <c r="D3" s="39" t="inlineStr">
        <is>
          <t>課程／活動</t>
        </is>
      </c>
      <c r="E3" s="39" t="inlineStr">
        <is>
          <t>誰上</t>
        </is>
      </c>
      <c r="F3" s="39" t="inlineStr">
        <is>
          <t>鎖定</t>
        </is>
      </c>
      <c r="G3" s="39" t="inlineStr">
        <is>
          <t>備註</t>
        </is>
      </c>
    </row>
    <row r="4" ht="17.15" customHeight="1" s="36">
      <c r="A4" s="46" t="inlineStr">
        <is>
          <t>全校</t>
        </is>
      </c>
      <c r="B4" s="46" t="inlineStr">
        <is>
          <t>三</t>
        </is>
      </c>
      <c r="C4" s="50" t="inlineStr">
        <is>
          <t>1</t>
        </is>
      </c>
      <c r="D4" s="46" t="inlineStr">
        <is>
          <t>綠色迪士尼</t>
        </is>
      </c>
      <c r="E4" s="46" t="inlineStr">
        <is>
          <t>導師</t>
        </is>
      </c>
      <c r="F4" s="46" t="inlineStr">
        <is>
          <t>是</t>
        </is>
      </c>
      <c r="G4" s="46" t="n"/>
    </row>
    <row r="5" ht="17.15" customHeight="1" s="36">
      <c r="A5" s="46" t="inlineStr">
        <is>
          <t>三、四年級</t>
        </is>
      </c>
      <c r="B5" s="46" t="inlineStr">
        <is>
          <t>一</t>
        </is>
      </c>
      <c r="C5" s="50" t="inlineStr">
        <is>
          <t>5–7</t>
        </is>
      </c>
      <c r="D5" s="46" t="inlineStr">
        <is>
          <t>綜合</t>
        </is>
      </c>
      <c r="E5" s="46" t="inlineStr">
        <is>
          <t>導師</t>
        </is>
      </c>
      <c r="F5" s="46" t="inlineStr">
        <is>
          <t>是</t>
        </is>
      </c>
      <c r="G5" s="46" t="inlineStr">
        <is>
          <t>年段共同時段</t>
        </is>
      </c>
    </row>
    <row r="6" ht="17.15" customHeight="1" s="36">
      <c r="A6" s="46" t="inlineStr">
        <is>
          <t>五、六年級</t>
        </is>
      </c>
      <c r="B6" s="46" t="inlineStr">
        <is>
          <t>四</t>
        </is>
      </c>
      <c r="C6" s="50" t="inlineStr">
        <is>
          <t>5–7</t>
        </is>
      </c>
      <c r="D6" s="46" t="inlineStr">
        <is>
          <t>綜合</t>
        </is>
      </c>
      <c r="E6" s="46" t="inlineStr">
        <is>
          <t>導師</t>
        </is>
      </c>
      <c r="F6" s="46" t="inlineStr">
        <is>
          <t>是</t>
        </is>
      </c>
      <c r="G6" s="46" t="inlineStr">
        <is>
          <t>年段共同時段</t>
        </is>
      </c>
    </row>
    <row r="7" ht="17.15" customHeight="1" s="36">
      <c r="A7" s="44" t="inlineStr">
        <is>
          <t>全校</t>
        </is>
      </c>
      <c r="B7" s="52" t="inlineStr">
        <is>
          <t>三</t>
        </is>
      </c>
      <c r="C7" s="44" t="inlineStr">
        <is>
          <t>下午</t>
        </is>
      </c>
      <c r="D7" s="44" t="inlineStr">
        <is>
          <t>不上課</t>
        </is>
      </c>
      <c r="E7" s="52" t="inlineStr">
        <is>
          <t>—</t>
        </is>
      </c>
      <c r="F7" s="44" t="inlineStr">
        <is>
          <t>是</t>
        </is>
      </c>
      <c r="G7" s="44" t="inlineStr">
        <is>
          <t>（試跑假設）星期三下午全校不上課</t>
        </is>
      </c>
    </row>
    <row r="8" ht="17.15" customHeight="1" s="36">
      <c r="A8" s="44" t="inlineStr">
        <is>
          <t>一、二年級</t>
        </is>
      </c>
      <c r="B8" s="52" t="inlineStr">
        <is>
          <t>一</t>
        </is>
      </c>
      <c r="C8" s="44" t="inlineStr">
        <is>
          <t>下午</t>
        </is>
      </c>
      <c r="D8" s="44" t="inlineStr">
        <is>
          <t>不上課</t>
        </is>
      </c>
      <c r="E8" s="44" t="inlineStr">
        <is>
          <t>—</t>
        </is>
      </c>
      <c r="F8" s="44" t="inlineStr">
        <is>
          <t>是</t>
        </is>
      </c>
      <c r="G8" s="44" t="inlineStr">
        <is>
          <t>（試跑假設）低年級只有星期二整天</t>
        </is>
      </c>
    </row>
    <row r="9" ht="15" customHeight="1" s="36">
      <c r="A9" s="44" t="inlineStr">
        <is>
          <t>一、二年級</t>
        </is>
      </c>
      <c r="B9" s="52" t="inlineStr">
        <is>
          <t>三</t>
        </is>
      </c>
      <c r="C9" s="44" t="inlineStr">
        <is>
          <t>下午</t>
        </is>
      </c>
      <c r="D9" s="44" t="inlineStr">
        <is>
          <t>不上課</t>
        </is>
      </c>
      <c r="E9" s="44" t="inlineStr">
        <is>
          <t>—</t>
        </is>
      </c>
      <c r="F9" s="44" t="inlineStr">
        <is>
          <t>是</t>
        </is>
      </c>
      <c r="G9" s="44" t="inlineStr">
        <is>
          <t>（試跑假設）低年級只有星期二整天</t>
        </is>
      </c>
    </row>
    <row r="10" ht="15" customHeight="1" s="36">
      <c r="A10" s="44" t="inlineStr">
        <is>
          <t>一、二年級</t>
        </is>
      </c>
      <c r="B10" s="52" t="inlineStr">
        <is>
          <t>四</t>
        </is>
      </c>
      <c r="C10" s="44" t="inlineStr">
        <is>
          <t>下午</t>
        </is>
      </c>
      <c r="D10" s="44" t="inlineStr">
        <is>
          <t>不上課</t>
        </is>
      </c>
      <c r="E10" s="44" t="inlineStr">
        <is>
          <t>—</t>
        </is>
      </c>
      <c r="F10" s="44" t="inlineStr">
        <is>
          <t>是</t>
        </is>
      </c>
      <c r="G10" s="44" t="inlineStr">
        <is>
          <t>（試跑假設）低年級只有星期二整天</t>
        </is>
      </c>
    </row>
    <row r="11" ht="15" customHeight="1" s="36">
      <c r="A11" s="44" t="inlineStr">
        <is>
          <t>一、二年級</t>
        </is>
      </c>
      <c r="B11" s="52" t="inlineStr">
        <is>
          <t>五</t>
        </is>
      </c>
      <c r="C11" s="44" t="inlineStr">
        <is>
          <t>下午</t>
        </is>
      </c>
      <c r="D11" s="44" t="inlineStr">
        <is>
          <t>不上課</t>
        </is>
      </c>
      <c r="E11" s="44" t="inlineStr">
        <is>
          <t>—</t>
        </is>
      </c>
      <c r="F11" s="44" t="inlineStr">
        <is>
          <t>是</t>
        </is>
      </c>
      <c r="G11" s="44" t="inlineStr">
        <is>
          <t>（試跑假設）低年級只有星期二整天</t>
        </is>
      </c>
    </row>
    <row r="12" ht="15" customHeight="1" s="36">
      <c r="A12" s="44" t="n"/>
      <c r="B12" s="52" t="n"/>
      <c r="C12" s="44" t="n"/>
      <c r="D12" s="44" t="n"/>
      <c r="E12" s="44" t="n"/>
      <c r="F12" s="44" t="n"/>
      <c r="G12" s="44" t="n"/>
    </row>
    <row r="13" ht="15" customHeight="1" s="36">
      <c r="A13" s="44" t="n"/>
      <c r="B13" s="52" t="n"/>
      <c r="C13" s="44" t="n"/>
      <c r="D13" s="44" t="n"/>
      <c r="E13" s="44" t="n"/>
      <c r="F13" s="44" t="n"/>
      <c r="G13" s="44" t="n"/>
    </row>
    <row r="14" ht="15" customHeight="1" s="36">
      <c r="A14" s="44" t="n"/>
      <c r="B14" s="52" t="n"/>
      <c r="C14" s="44" t="n"/>
      <c r="D14" s="44" t="n"/>
      <c r="E14" s="44" t="n"/>
      <c r="F14" s="44" t="n"/>
      <c r="G14" s="44" t="n"/>
    </row>
    <row r="15" ht="15" customHeight="1" s="36">
      <c r="A15" s="44" t="n"/>
      <c r="B15" s="52" t="n"/>
      <c r="C15" s="44" t="n"/>
      <c r="D15" s="44" t="n"/>
      <c r="E15" s="44" t="n"/>
      <c r="F15" s="44" t="n"/>
      <c r="G15" s="44" t="n"/>
    </row>
  </sheetData>
  <mergeCells count="2">
    <mergeCell ref="A2:G2"/>
    <mergeCell ref="A1:G1"/>
  </mergeCells>
  <dataValidations count="2">
    <dataValidation sqref="B4:B15" showDropDown="0" showInputMessage="0" showErrorMessage="0" allowBlank="1" type="list" errorStyle="stop" operator="between">
      <formula1>選項!$C$2:$C$6</formula1>
      <formula2>0</formula2>
    </dataValidation>
    <dataValidation sqref="F4:F15" showDropDown="0" showInputMessage="0" showErrorMessage="0" allowBlank="1" type="list" errorStyle="stop" operator="between">
      <formula1>選項!$I$2:$I$3</formula1>
      <formula2>0</formula2>
    </dataValidation>
  </dataValidation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H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35" min="1" max="1"/>
    <col width="8" customWidth="1" style="35" min="2" max="2"/>
    <col width="12" customWidth="1" style="35" min="3" max="3"/>
    <col width="26" customWidth="1" style="35" min="4" max="4"/>
    <col width="18" customWidth="1" style="35" min="5" max="5"/>
    <col width="3" customWidth="1" style="35" min="6" max="6"/>
    <col width="14" customWidth="1" style="35" min="7" max="7"/>
    <col width="20" customWidth="1" style="35" min="8" max="8"/>
  </cols>
  <sheetData>
    <row r="1" ht="27.75" customHeight="1" s="36">
      <c r="A1" s="48" t="inlineStr">
        <is>
          <t>6. 職務限制（教育局規定，最優先）</t>
        </is>
      </c>
    </row>
    <row r="2" ht="36" customHeight="1" s="36">
      <c r="A2" s="49" t="inlineStr">
        <is>
          <t>左邊：規則跟著「職務」走，不跟著人。明年只要更新右邊的名單，規則不用重填。請在「依據」欄寫上公文文號或規定名稱，方便交接查證。</t>
        </is>
      </c>
    </row>
    <row r="3" ht="17.15" customHeight="1" s="36">
      <c r="A3" s="39" t="inlineStr">
        <is>
          <t>職務</t>
        </is>
      </c>
      <c r="B3" s="39" t="inlineStr">
        <is>
          <t>星期</t>
        </is>
      </c>
      <c r="C3" s="39" t="inlineStr">
        <is>
          <t>節次／時段</t>
        </is>
      </c>
      <c r="D3" s="39" t="inlineStr">
        <is>
          <t>依據（文號／規定）</t>
        </is>
      </c>
      <c r="E3" s="39" t="inlineStr">
        <is>
          <t>備註</t>
        </is>
      </c>
      <c r="G3" s="39" t="inlineStr">
        <is>
          <t>教師姓名</t>
        </is>
      </c>
      <c r="H3" s="39" t="inlineStr">
        <is>
          <t>擔任職務</t>
        </is>
      </c>
    </row>
    <row r="4" ht="29.85" customHeight="1" s="36">
      <c r="A4" s="54" t="inlineStr">
        <is>
          <t>（試跑）英語輔導團團員</t>
        </is>
      </c>
      <c r="B4" s="54" t="inlineStr">
        <is>
          <t>四</t>
        </is>
      </c>
      <c r="C4" s="54" t="inlineStr">
        <is>
          <t>上午</t>
        </is>
      </c>
      <c r="D4" s="54" t="inlineStr">
        <is>
          <t>高市教○字第000001號（假）</t>
        </is>
      </c>
      <c r="E4" s="54" t="n"/>
      <c r="G4" s="54" t="inlineStr">
        <is>
          <t>英語丙</t>
        </is>
      </c>
      <c r="H4" s="54" t="inlineStr">
        <is>
          <t>（試跑）英語輔導團團員</t>
        </is>
      </c>
    </row>
    <row r="5" ht="15" customHeight="1" s="36">
      <c r="A5" s="44" t="inlineStr">
        <is>
          <t>（試跑）自然輔導團團員</t>
        </is>
      </c>
      <c r="B5" s="52" t="inlineStr">
        <is>
          <t>二</t>
        </is>
      </c>
      <c r="C5" s="52" t="inlineStr">
        <is>
          <t>下午</t>
        </is>
      </c>
      <c r="D5" s="44" t="inlineStr">
        <is>
          <t>高市教○字第000002號（假）</t>
        </is>
      </c>
      <c r="E5" s="44" t="n"/>
      <c r="G5" s="44" t="inlineStr">
        <is>
          <t>自然丁</t>
        </is>
      </c>
      <c r="H5" s="44" t="inlineStr">
        <is>
          <t>（試跑）自然輔導團團員</t>
        </is>
      </c>
    </row>
    <row r="6" ht="15" customHeight="1" s="36">
      <c r="A6" s="44" t="n"/>
      <c r="B6" s="52" t="n"/>
      <c r="C6" s="52" t="n"/>
      <c r="D6" s="44" t="n"/>
      <c r="E6" s="44" t="n"/>
      <c r="G6" s="44" t="n"/>
      <c r="H6" s="44" t="n"/>
    </row>
    <row r="7" ht="15" customHeight="1" s="36">
      <c r="A7" s="44" t="n"/>
      <c r="B7" s="52" t="n"/>
      <c r="C7" s="52" t="n"/>
      <c r="D7" s="44" t="n"/>
      <c r="E7" s="44" t="n"/>
      <c r="G7" s="44" t="n"/>
      <c r="H7" s="44" t="n"/>
    </row>
    <row r="8" ht="15" customHeight="1" s="36">
      <c r="A8" s="44" t="n"/>
      <c r="B8" s="52" t="n"/>
      <c r="C8" s="52" t="n"/>
      <c r="D8" s="44" t="n"/>
      <c r="E8" s="44" t="n"/>
      <c r="G8" s="44" t="n"/>
      <c r="H8" s="44" t="n"/>
    </row>
    <row r="9" ht="15" customHeight="1" s="36">
      <c r="A9" s="44" t="n"/>
      <c r="B9" s="52" t="n"/>
      <c r="C9" s="52" t="n"/>
      <c r="D9" s="44" t="n"/>
      <c r="E9" s="44" t="n"/>
      <c r="G9" s="44" t="n"/>
      <c r="H9" s="44" t="n"/>
    </row>
    <row r="10" ht="15" customHeight="1" s="36">
      <c r="A10" s="44" t="n"/>
      <c r="B10" s="52" t="n"/>
      <c r="C10" s="52" t="n"/>
      <c r="D10" s="44" t="n"/>
      <c r="E10" s="44" t="n"/>
      <c r="G10" s="44" t="n"/>
      <c r="H10" s="44" t="n"/>
    </row>
    <row r="11" ht="15" customHeight="1" s="36">
      <c r="A11" s="44" t="n"/>
      <c r="B11" s="52" t="n"/>
      <c r="C11" s="52" t="n"/>
      <c r="D11" s="44" t="n"/>
      <c r="E11" s="44" t="n"/>
      <c r="G11" s="44" t="n"/>
      <c r="H11" s="44" t="n"/>
    </row>
    <row r="12" ht="15" customHeight="1" s="36">
      <c r="A12" s="44" t="n"/>
      <c r="B12" s="52" t="n"/>
      <c r="C12" s="52" t="n"/>
      <c r="D12" s="44" t="n"/>
      <c r="E12" s="44" t="n"/>
      <c r="G12" s="44" t="n"/>
      <c r="H12" s="44" t="n"/>
    </row>
    <row r="13" ht="15" customHeight="1" s="36">
      <c r="A13" s="44" t="n"/>
      <c r="B13" s="52" t="n"/>
      <c r="C13" s="52" t="n"/>
      <c r="D13" s="44" t="n"/>
      <c r="E13" s="44" t="n"/>
      <c r="G13" s="44" t="n"/>
      <c r="H13" s="44" t="n"/>
    </row>
    <row r="14" ht="15" customHeight="1" s="36">
      <c r="A14" s="44" t="n"/>
      <c r="B14" s="52" t="n"/>
      <c r="C14" s="52" t="n"/>
      <c r="D14" s="44" t="n"/>
      <c r="E14" s="44" t="n"/>
      <c r="G14" s="44" t="n"/>
      <c r="H14" s="44" t="n"/>
    </row>
    <row r="15" ht="15" customHeight="1" s="36">
      <c r="A15" s="44" t="n"/>
      <c r="B15" s="52" t="n"/>
      <c r="C15" s="52" t="n"/>
      <c r="D15" s="44" t="n"/>
      <c r="E15" s="44" t="n"/>
      <c r="G15" s="44" t="n"/>
      <c r="H15" s="44" t="n"/>
    </row>
    <row r="16" ht="15" customHeight="1" s="36">
      <c r="A16" s="44" t="n"/>
      <c r="B16" s="52" t="n"/>
      <c r="C16" s="52" t="n"/>
      <c r="D16" s="44" t="n"/>
      <c r="E16" s="44" t="n"/>
      <c r="G16" s="44" t="n"/>
      <c r="H16" s="44" t="n"/>
    </row>
    <row r="17" ht="15" customHeight="1" s="36">
      <c r="A17" s="44" t="n"/>
      <c r="B17" s="52" t="n"/>
      <c r="C17" s="52" t="n"/>
      <c r="D17" s="44" t="n"/>
      <c r="E17" s="44" t="n"/>
      <c r="G17" s="44" t="n"/>
      <c r="H17" s="44" t="n"/>
    </row>
    <row r="18" ht="15" customHeight="1" s="36">
      <c r="A18" s="44" t="n"/>
      <c r="B18" s="52" t="n"/>
      <c r="C18" s="52" t="n"/>
      <c r="D18" s="44" t="n"/>
      <c r="E18" s="44" t="n"/>
      <c r="G18" s="44" t="n"/>
      <c r="H18" s="44" t="n"/>
    </row>
    <row r="19" ht="15" customHeight="1" s="36">
      <c r="A19" s="44" t="n"/>
      <c r="B19" s="52" t="n"/>
      <c r="C19" s="52" t="n"/>
      <c r="D19" s="44" t="n"/>
      <c r="E19" s="44" t="n"/>
      <c r="G19" s="44" t="n"/>
      <c r="H19" s="44" t="n"/>
    </row>
    <row r="20" ht="15" customHeight="1" s="36">
      <c r="A20" s="44" t="n"/>
      <c r="B20" s="52" t="n"/>
      <c r="C20" s="52" t="n"/>
      <c r="D20" s="44" t="n"/>
      <c r="E20" s="44" t="n"/>
      <c r="G20" s="44" t="n"/>
      <c r="H20" s="44" t="n"/>
    </row>
    <row r="21" ht="15" customHeight="1" s="36">
      <c r="A21" s="44" t="n"/>
      <c r="B21" s="52" t="n"/>
      <c r="C21" s="52" t="n"/>
      <c r="D21" s="44" t="n"/>
      <c r="E21" s="44" t="n"/>
      <c r="G21" s="44" t="n"/>
      <c r="H21" s="44" t="n"/>
    </row>
    <row r="22" ht="15" customHeight="1" s="36">
      <c r="A22" s="44" t="n"/>
      <c r="B22" s="52" t="n"/>
      <c r="C22" s="52" t="n"/>
      <c r="D22" s="44" t="n"/>
      <c r="E22" s="44" t="n"/>
      <c r="G22" s="44" t="n"/>
      <c r="H22" s="44" t="n"/>
    </row>
    <row r="23" ht="15" customHeight="1" s="36">
      <c r="A23" s="44" t="n"/>
      <c r="B23" s="52" t="n"/>
      <c r="C23" s="52" t="n"/>
      <c r="D23" s="44" t="n"/>
      <c r="E23" s="44" t="n"/>
      <c r="G23" s="44" t="n"/>
      <c r="H23" s="44" t="n"/>
    </row>
    <row r="24" ht="15" customHeight="1" s="36">
      <c r="A24" s="44" t="n"/>
      <c r="B24" s="52" t="n"/>
      <c r="C24" s="52" t="n"/>
      <c r="D24" s="44" t="n"/>
      <c r="E24" s="44" t="n"/>
      <c r="G24" s="44" t="n"/>
      <c r="H24" s="44" t="n"/>
    </row>
    <row r="25" ht="15" customHeight="1" s="36">
      <c r="A25" s="44" t="n"/>
      <c r="B25" s="52" t="n"/>
      <c r="C25" s="52" t="n"/>
      <c r="D25" s="44" t="n"/>
      <c r="E25" s="44" t="n"/>
      <c r="G25" s="44" t="n"/>
      <c r="H25" s="44" t="n"/>
    </row>
    <row r="26" ht="15" customHeight="1" s="36">
      <c r="A26" s="44" t="n"/>
      <c r="B26" s="52" t="n"/>
      <c r="C26" s="52" t="n"/>
      <c r="D26" s="44" t="n"/>
      <c r="E26" s="44" t="n"/>
      <c r="G26" s="44" t="n"/>
      <c r="H26" s="44" t="n"/>
    </row>
    <row r="27" ht="15" customHeight="1" s="36">
      <c r="A27" s="44" t="n"/>
      <c r="B27" s="52" t="n"/>
      <c r="C27" s="52" t="n"/>
      <c r="D27" s="44" t="n"/>
      <c r="E27" s="44" t="n"/>
      <c r="G27" s="44" t="n"/>
      <c r="H27" s="44" t="n"/>
    </row>
    <row r="28" ht="15" customHeight="1" s="36">
      <c r="A28" s="44" t="n"/>
      <c r="B28" s="52" t="n"/>
      <c r="C28" s="52" t="n"/>
      <c r="D28" s="44" t="n"/>
      <c r="E28" s="44" t="n"/>
      <c r="G28" s="44" t="n"/>
      <c r="H28" s="44" t="n"/>
    </row>
    <row r="29" ht="15" customHeight="1" s="36">
      <c r="A29" s="44" t="n"/>
      <c r="B29" s="52" t="n"/>
      <c r="C29" s="52" t="n"/>
      <c r="D29" s="44" t="n"/>
      <c r="E29" s="44" t="n"/>
      <c r="G29" s="44" t="n"/>
      <c r="H29" s="44" t="n"/>
    </row>
    <row r="30" ht="15" customHeight="1" s="36">
      <c r="A30" s="44" t="n"/>
      <c r="B30" s="52" t="n"/>
      <c r="C30" s="52" t="n"/>
      <c r="D30" s="44" t="n"/>
      <c r="E30" s="44" t="n"/>
      <c r="G30" s="44" t="n"/>
      <c r="H30" s="44" t="n"/>
    </row>
    <row r="31" ht="15" customHeight="1" s="36">
      <c r="A31" s="44" t="n"/>
      <c r="B31" s="52" t="n"/>
      <c r="C31" s="52" t="n"/>
      <c r="D31" s="44" t="n"/>
      <c r="E31" s="44" t="n"/>
      <c r="G31" s="44" t="n"/>
      <c r="H31" s="44" t="n"/>
    </row>
    <row r="32" ht="15" customHeight="1" s="36">
      <c r="A32" s="44" t="n"/>
      <c r="B32" s="52" t="n"/>
      <c r="C32" s="52" t="n"/>
      <c r="D32" s="44" t="n"/>
      <c r="E32" s="44" t="n"/>
      <c r="G32" s="44" t="n"/>
      <c r="H32" s="44" t="n"/>
    </row>
    <row r="33" ht="15" customHeight="1" s="36">
      <c r="A33" s="44" t="n"/>
      <c r="B33" s="52" t="n"/>
      <c r="C33" s="52" t="n"/>
      <c r="D33" s="44" t="n"/>
      <c r="E33" s="44" t="n"/>
      <c r="G33" s="44" t="n"/>
      <c r="H33" s="44" t="n"/>
    </row>
    <row r="34" ht="15" customHeight="1" s="36">
      <c r="A34" s="44" t="n"/>
      <c r="B34" s="52" t="n"/>
      <c r="C34" s="52" t="n"/>
      <c r="D34" s="44" t="n"/>
      <c r="E34" s="44" t="n"/>
      <c r="G34" s="44" t="n"/>
      <c r="H34" s="44" t="n"/>
    </row>
    <row r="35" ht="15" customHeight="1" s="36">
      <c r="G35" s="44" t="n"/>
      <c r="H35" s="44" t="n"/>
    </row>
    <row r="36" ht="15" customHeight="1" s="36">
      <c r="G36" s="44" t="n"/>
      <c r="H36" s="44" t="n"/>
    </row>
    <row r="37" ht="15" customHeight="1" s="36">
      <c r="G37" s="44" t="n"/>
      <c r="H37" s="44" t="n"/>
    </row>
    <row r="38" ht="15" customHeight="1" s="36">
      <c r="G38" s="44" t="n"/>
      <c r="H38" s="44" t="n"/>
    </row>
    <row r="39" ht="15" customHeight="1" s="36">
      <c r="G39" s="44" t="n"/>
      <c r="H39" s="44" t="n"/>
    </row>
    <row r="40" ht="15" customHeight="1" s="36">
      <c r="G40" s="44" t="n"/>
      <c r="H40" s="44" t="n"/>
    </row>
    <row r="41" ht="15" customHeight="1" s="36">
      <c r="G41" s="44" t="n"/>
      <c r="H41" s="44" t="n"/>
    </row>
    <row r="42" ht="15" customHeight="1" s="36">
      <c r="G42" s="44" t="n"/>
      <c r="H42" s="44" t="n"/>
    </row>
    <row r="43" ht="15" customHeight="1" s="36">
      <c r="G43" s="44" t="n"/>
      <c r="H43" s="44" t="n"/>
    </row>
    <row r="44" ht="15" customHeight="1" s="36">
      <c r="G44" s="44" t="n"/>
      <c r="H44" s="44" t="n"/>
    </row>
    <row r="45" ht="15" customHeight="1" s="36">
      <c r="G45" s="44" t="n"/>
      <c r="H45" s="44" t="n"/>
    </row>
    <row r="46" ht="15" customHeight="1" s="36">
      <c r="G46" s="44" t="n"/>
      <c r="H46" s="44" t="n"/>
    </row>
    <row r="47" ht="15" customHeight="1" s="36">
      <c r="G47" s="44" t="n"/>
      <c r="H47" s="44" t="n"/>
    </row>
    <row r="48" ht="15" customHeight="1" s="36">
      <c r="G48" s="44" t="n"/>
      <c r="H48" s="44" t="n"/>
    </row>
    <row r="49" ht="15" customHeight="1" s="36">
      <c r="G49" s="44" t="n"/>
      <c r="H49" s="44" t="n"/>
    </row>
    <row r="50" ht="15" customHeight="1" s="36">
      <c r="G50" s="44" t="n"/>
      <c r="H50" s="44" t="n"/>
    </row>
    <row r="51" ht="15" customHeight="1" s="36">
      <c r="G51" s="44" t="n"/>
      <c r="H51" s="44" t="n"/>
    </row>
    <row r="52" ht="15" customHeight="1" s="36">
      <c r="G52" s="44" t="n"/>
      <c r="H52" s="44" t="n"/>
    </row>
    <row r="53" ht="15" customHeight="1" s="36">
      <c r="G53" s="44" t="n"/>
      <c r="H53" s="44" t="n"/>
    </row>
    <row r="54" ht="15" customHeight="1" s="36">
      <c r="G54" s="44" t="n"/>
      <c r="H54" s="44" t="n"/>
    </row>
    <row r="55" ht="15" customHeight="1" s="36">
      <c r="G55" s="44" t="n"/>
      <c r="H55" s="44" t="n"/>
    </row>
    <row r="56" ht="15" customHeight="1" s="36">
      <c r="G56" s="44" t="n"/>
      <c r="H56" s="44" t="n"/>
    </row>
    <row r="57" ht="15" customHeight="1" s="36">
      <c r="G57" s="44" t="n"/>
      <c r="H57" s="44" t="n"/>
    </row>
    <row r="58" ht="15" customHeight="1" s="36">
      <c r="G58" s="44" t="n"/>
      <c r="H58" s="44" t="n"/>
    </row>
    <row r="59" ht="15" customHeight="1" s="36">
      <c r="G59" s="44" t="n"/>
      <c r="H59" s="44" t="n"/>
    </row>
    <row r="60" ht="15" customHeight="1" s="36">
      <c r="G60" s="44" t="n"/>
      <c r="H60" s="44" t="n"/>
    </row>
    <row r="61" ht="15" customHeight="1" s="36">
      <c r="G61" s="44" t="n"/>
      <c r="H61" s="44" t="n"/>
    </row>
    <row r="62" ht="15" customHeight="1" s="36">
      <c r="G62" s="44" t="n"/>
      <c r="H62" s="44" t="n"/>
    </row>
    <row r="63" ht="15" customHeight="1" s="36">
      <c r="G63" s="44" t="n"/>
      <c r="H63" s="44" t="n"/>
    </row>
    <row r="64" ht="15" customHeight="1" s="36">
      <c r="G64" s="44" t="n"/>
      <c r="H64" s="44" t="n"/>
    </row>
  </sheetData>
  <mergeCells count="2">
    <mergeCell ref="A2:E2"/>
    <mergeCell ref="A1:E1"/>
  </mergeCells>
  <dataValidations count="2">
    <dataValidation sqref="B5:B34" showDropDown="0" showInputMessage="0" showErrorMessage="0" allowBlank="1" type="list" errorStyle="stop" operator="between">
      <formula1>選項!$C$2:$C$6</formula1>
      <formula2>0</formula2>
    </dataValidation>
    <dataValidation sqref="C5:C34" showDropDown="0" showInputMessage="0" showErrorMessage="0" allowBlank="1" type="list" errorStyle="stop" operator="between">
      <formula1>選項!$L$2:$L$11</formula1>
      <formula2>0</formula2>
    </dataValidation>
  </dataValidation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K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35" min="1" max="1"/>
    <col width="12" customWidth="1" style="35" min="2" max="2"/>
    <col width="8" customWidth="1" style="35" min="3" max="3"/>
    <col width="11" customWidth="1" style="35" min="4" max="4"/>
    <col width="18" customWidth="1" style="35" min="5" max="5"/>
    <col width="14" customWidth="1" style="35" min="7" max="7"/>
    <col width="7" customWidth="1" style="35" min="8" max="8"/>
    <col width="12" customWidth="1" style="35" min="9" max="9"/>
    <col width="14" customWidth="1" style="35" min="10" max="10"/>
    <col width="12" customWidth="1" style="35" min="11" max="11"/>
  </cols>
  <sheetData>
    <row r="1" ht="27.75" customHeight="1" s="36">
      <c r="A1" s="48" t="inlineStr">
        <is>
          <t>7. 班級教室位置</t>
        </is>
      </c>
    </row>
    <row r="2" ht="36" customHeight="1" s="36">
      <c r="A2" s="49" t="inlineStr">
        <is>
          <t>用來計算跑班距離：同一位老師連續兩節，盡量排在同棟、同層或相鄰的教室。右邊是專科教室清單。</t>
        </is>
      </c>
    </row>
    <row r="3" ht="32.8" customHeight="1" s="36">
      <c r="A3" s="39" t="inlineStr">
        <is>
          <t>班級</t>
        </is>
      </c>
      <c r="B3" s="39" t="inlineStr">
        <is>
          <t>棟別</t>
        </is>
      </c>
      <c r="C3" s="39" t="inlineStr">
        <is>
          <t>樓層</t>
        </is>
      </c>
      <c r="D3" s="39" t="inlineStr">
        <is>
          <t>教室編號</t>
        </is>
      </c>
      <c r="E3" s="39" t="inlineStr">
        <is>
          <t>備註</t>
        </is>
      </c>
      <c r="G3" s="39" t="inlineStr">
        <is>
          <t>專科教室</t>
        </is>
      </c>
      <c r="H3" s="39" t="inlineStr">
        <is>
          <t>間數</t>
        </is>
      </c>
      <c r="I3" s="39" t="inlineStr">
        <is>
          <t>同一節最多幾班</t>
        </is>
      </c>
      <c r="J3" s="39" t="inlineStr">
        <is>
          <t>位置（棟／樓）</t>
        </is>
      </c>
      <c r="K3" s="39" t="inlineStr">
        <is>
          <t>使用科目</t>
        </is>
      </c>
    </row>
    <row r="4" ht="17.15" customHeight="1" s="36">
      <c r="A4" s="52" t="inlineStr">
        <is>
          <t>1年1班</t>
        </is>
      </c>
      <c r="B4" s="44" t="inlineStr">
        <is>
          <t>甲棟</t>
        </is>
      </c>
      <c r="C4" s="44" t="n">
        <v>1</v>
      </c>
      <c r="D4" s="44" t="inlineStr">
        <is>
          <t>甲101</t>
        </is>
      </c>
      <c r="E4" s="44" t="n"/>
      <c r="G4" s="44" t="inlineStr">
        <is>
          <t>自然教室</t>
        </is>
      </c>
      <c r="H4" s="44" t="n">
        <v>4</v>
      </c>
      <c r="I4" s="44" t="n">
        <v>4</v>
      </c>
      <c r="J4" s="44" t="inlineStr">
        <is>
          <t>丁棟2-3F</t>
        </is>
      </c>
      <c r="K4" s="44" t="inlineStr">
        <is>
          <t>自然</t>
        </is>
      </c>
    </row>
    <row r="5" ht="17.15" customHeight="1" s="36">
      <c r="A5" s="52" t="inlineStr">
        <is>
          <t>1年2班</t>
        </is>
      </c>
      <c r="B5" s="44" t="inlineStr">
        <is>
          <t>甲棟</t>
        </is>
      </c>
      <c r="C5" s="44" t="n">
        <v>1</v>
      </c>
      <c r="D5" s="44" t="inlineStr">
        <is>
          <t>甲102</t>
        </is>
      </c>
      <c r="E5" s="44" t="n"/>
      <c r="G5" s="44" t="inlineStr">
        <is>
          <t>音樂教室</t>
        </is>
      </c>
      <c r="H5" s="44" t="n">
        <v>5</v>
      </c>
      <c r="I5" s="44" t="n">
        <v>5</v>
      </c>
      <c r="J5" s="44" t="inlineStr">
        <is>
          <t>丁棟1F</t>
        </is>
      </c>
      <c r="K5" s="44" t="inlineStr">
        <is>
          <t>音樂</t>
        </is>
      </c>
    </row>
    <row r="6" ht="17.15" customHeight="1" s="36">
      <c r="A6" s="52" t="inlineStr">
        <is>
          <t>1年3班</t>
        </is>
      </c>
      <c r="B6" s="44" t="inlineStr">
        <is>
          <t>甲棟</t>
        </is>
      </c>
      <c r="C6" s="44" t="n">
        <v>1</v>
      </c>
      <c r="D6" s="44" t="inlineStr">
        <is>
          <t>甲103</t>
        </is>
      </c>
      <c r="E6" s="44" t="n"/>
      <c r="G6" s="44" t="inlineStr">
        <is>
          <t>電腦教室</t>
        </is>
      </c>
      <c r="H6" s="44" t="n">
        <v>2</v>
      </c>
      <c r="I6" s="44" t="n">
        <v>2</v>
      </c>
      <c r="J6" s="44" t="inlineStr">
        <is>
          <t>丁棟4F</t>
        </is>
      </c>
      <c r="K6" s="44" t="inlineStr">
        <is>
          <t>資訊</t>
        </is>
      </c>
    </row>
    <row r="7" ht="17.15" customHeight="1" s="36">
      <c r="A7" s="52" t="inlineStr">
        <is>
          <t>1年4班</t>
        </is>
      </c>
      <c r="B7" s="44" t="inlineStr">
        <is>
          <t>甲棟</t>
        </is>
      </c>
      <c r="C7" s="44" t="n">
        <v>1</v>
      </c>
      <c r="D7" s="44" t="inlineStr">
        <is>
          <t>甲104</t>
        </is>
      </c>
      <c r="E7" s="44" t="n"/>
      <c r="G7" s="44" t="inlineStr">
        <is>
          <t>操場／體育館</t>
        </is>
      </c>
      <c r="H7" s="44" t="n">
        <v>1</v>
      </c>
      <c r="I7" s="44" t="n">
        <v>8</v>
      </c>
      <c r="J7" s="44" t="inlineStr">
        <is>
          <t>操場</t>
        </is>
      </c>
      <c r="K7" s="44" t="inlineStr">
        <is>
          <t>體育</t>
        </is>
      </c>
    </row>
    <row r="8" ht="17.15" customHeight="1" s="36">
      <c r="A8" s="52" t="inlineStr">
        <is>
          <t>1年5班</t>
        </is>
      </c>
      <c r="B8" s="44" t="inlineStr">
        <is>
          <t>甲棟</t>
        </is>
      </c>
      <c r="C8" s="44" t="n">
        <v>1</v>
      </c>
      <c r="D8" s="44" t="inlineStr">
        <is>
          <t>甲105</t>
        </is>
      </c>
      <c r="E8" s="44" t="n"/>
      <c r="G8" s="44" t="n"/>
      <c r="H8" s="44" t="n"/>
      <c r="I8" s="44" t="n"/>
      <c r="J8" s="44" t="n"/>
      <c r="K8" s="44" t="n"/>
    </row>
    <row r="9" ht="17.15" customHeight="1" s="36">
      <c r="A9" s="52" t="inlineStr">
        <is>
          <t>1年6班</t>
        </is>
      </c>
      <c r="B9" s="44" t="inlineStr">
        <is>
          <t>甲棟</t>
        </is>
      </c>
      <c r="C9" s="44" t="n">
        <v>1</v>
      </c>
      <c r="D9" s="44" t="inlineStr">
        <is>
          <t>甲106</t>
        </is>
      </c>
      <c r="E9" s="44" t="n"/>
      <c r="G9" s="44" t="n"/>
      <c r="H9" s="44" t="n"/>
      <c r="I9" s="44" t="n"/>
      <c r="J9" s="44" t="n"/>
      <c r="K9" s="44" t="n"/>
    </row>
    <row r="10" ht="17.15" customHeight="1" s="36">
      <c r="A10" s="52" t="inlineStr">
        <is>
          <t>1年7班</t>
        </is>
      </c>
      <c r="B10" s="44" t="inlineStr">
        <is>
          <t>甲棟</t>
        </is>
      </c>
      <c r="C10" s="44" t="n">
        <v>2</v>
      </c>
      <c r="D10" s="44" t="inlineStr">
        <is>
          <t>甲201</t>
        </is>
      </c>
      <c r="E10" s="44" t="n"/>
    </row>
    <row r="11" ht="17.15" customHeight="1" s="36">
      <c r="A11" s="52" t="inlineStr">
        <is>
          <t>1年8班</t>
        </is>
      </c>
      <c r="B11" s="44" t="inlineStr">
        <is>
          <t>甲棟</t>
        </is>
      </c>
      <c r="C11" s="44" t="n">
        <v>2</v>
      </c>
      <c r="D11" s="44" t="inlineStr">
        <is>
          <t>甲202</t>
        </is>
      </c>
      <c r="E11" s="44" t="n"/>
    </row>
    <row r="12" ht="17.15" customHeight="1" s="36">
      <c r="A12" s="52" t="inlineStr">
        <is>
          <t>1年9班</t>
        </is>
      </c>
      <c r="B12" s="44" t="inlineStr">
        <is>
          <t>甲棟</t>
        </is>
      </c>
      <c r="C12" s="44" t="n">
        <v>2</v>
      </c>
      <c r="D12" s="44" t="inlineStr">
        <is>
          <t>甲203</t>
        </is>
      </c>
      <c r="E12" s="44" t="n"/>
    </row>
    <row r="13" ht="17.15" customHeight="1" s="36">
      <c r="A13" s="52" t="inlineStr">
        <is>
          <t>1年10班</t>
        </is>
      </c>
      <c r="B13" s="44" t="inlineStr">
        <is>
          <t>甲棟</t>
        </is>
      </c>
      <c r="C13" s="44" t="n">
        <v>2</v>
      </c>
      <c r="D13" s="44" t="inlineStr">
        <is>
          <t>甲204</t>
        </is>
      </c>
      <c r="E13" s="44" t="n"/>
    </row>
    <row r="14" ht="17.15" customHeight="1" s="36">
      <c r="A14" s="52" t="inlineStr">
        <is>
          <t>1年11班</t>
        </is>
      </c>
      <c r="B14" s="44" t="inlineStr">
        <is>
          <t>甲棟</t>
        </is>
      </c>
      <c r="C14" s="44" t="n">
        <v>2</v>
      </c>
      <c r="D14" s="44" t="inlineStr">
        <is>
          <t>甲205</t>
        </is>
      </c>
      <c r="E14" s="44" t="n"/>
    </row>
    <row r="15" ht="17.15" customHeight="1" s="36">
      <c r="A15" s="52" t="inlineStr">
        <is>
          <t>1年12班</t>
        </is>
      </c>
      <c r="B15" s="44" t="inlineStr">
        <is>
          <t>甲棟</t>
        </is>
      </c>
      <c r="C15" s="44" t="n">
        <v>2</v>
      </c>
      <c r="D15" s="44" t="inlineStr">
        <is>
          <t>甲206</t>
        </is>
      </c>
      <c r="E15" s="44" t="n"/>
    </row>
    <row r="16" ht="17.15" customHeight="1" s="36">
      <c r="A16" s="52" t="inlineStr">
        <is>
          <t>2年1班</t>
        </is>
      </c>
      <c r="B16" s="44" t="inlineStr">
        <is>
          <t>乙棟</t>
        </is>
      </c>
      <c r="C16" s="44" t="n">
        <v>1</v>
      </c>
      <c r="D16" s="44" t="inlineStr">
        <is>
          <t>乙101</t>
        </is>
      </c>
      <c r="E16" s="44" t="n"/>
    </row>
    <row r="17" ht="17.15" customHeight="1" s="36">
      <c r="A17" s="52" t="inlineStr">
        <is>
          <t>2年2班</t>
        </is>
      </c>
      <c r="B17" s="44" t="inlineStr">
        <is>
          <t>乙棟</t>
        </is>
      </c>
      <c r="C17" s="44" t="n">
        <v>1</v>
      </c>
      <c r="D17" s="44" t="inlineStr">
        <is>
          <t>乙102</t>
        </is>
      </c>
      <c r="E17" s="44" t="n"/>
    </row>
    <row r="18" ht="17.15" customHeight="1" s="36">
      <c r="A18" s="52" t="inlineStr">
        <is>
          <t>2年3班</t>
        </is>
      </c>
      <c r="B18" s="44" t="inlineStr">
        <is>
          <t>乙棟</t>
        </is>
      </c>
      <c r="C18" s="44" t="n">
        <v>1</v>
      </c>
      <c r="D18" s="44" t="inlineStr">
        <is>
          <t>乙103</t>
        </is>
      </c>
      <c r="E18" s="44" t="n"/>
    </row>
    <row r="19" ht="17.15" customHeight="1" s="36">
      <c r="A19" s="52" t="inlineStr">
        <is>
          <t>2年4班</t>
        </is>
      </c>
      <c r="B19" s="44" t="inlineStr">
        <is>
          <t>乙棟</t>
        </is>
      </c>
      <c r="C19" s="44" t="n">
        <v>1</v>
      </c>
      <c r="D19" s="44" t="inlineStr">
        <is>
          <t>乙104</t>
        </is>
      </c>
      <c r="E19" s="44" t="n"/>
    </row>
    <row r="20" ht="17.15" customHeight="1" s="36">
      <c r="A20" s="52" t="inlineStr">
        <is>
          <t>2年5班</t>
        </is>
      </c>
      <c r="B20" s="44" t="inlineStr">
        <is>
          <t>乙棟</t>
        </is>
      </c>
      <c r="C20" s="44" t="n">
        <v>1</v>
      </c>
      <c r="D20" s="44" t="inlineStr">
        <is>
          <t>乙105</t>
        </is>
      </c>
      <c r="E20" s="44" t="n"/>
    </row>
    <row r="21" ht="17.15" customHeight="1" s="36">
      <c r="A21" s="52" t="inlineStr">
        <is>
          <t>2年6班</t>
        </is>
      </c>
      <c r="B21" s="44" t="inlineStr">
        <is>
          <t>乙棟</t>
        </is>
      </c>
      <c r="C21" s="44" t="n">
        <v>1</v>
      </c>
      <c r="D21" s="44" t="inlineStr">
        <is>
          <t>乙106</t>
        </is>
      </c>
      <c r="E21" s="44" t="n"/>
    </row>
    <row r="22" ht="17.15" customHeight="1" s="36">
      <c r="A22" s="52" t="inlineStr">
        <is>
          <t>2年7班</t>
        </is>
      </c>
      <c r="B22" s="44" t="inlineStr">
        <is>
          <t>乙棟</t>
        </is>
      </c>
      <c r="C22" s="44" t="n">
        <v>2</v>
      </c>
      <c r="D22" s="44" t="inlineStr">
        <is>
          <t>乙201</t>
        </is>
      </c>
      <c r="E22" s="44" t="n"/>
    </row>
    <row r="23" ht="17.15" customHeight="1" s="36">
      <c r="A23" s="52" t="inlineStr">
        <is>
          <t>2年8班</t>
        </is>
      </c>
      <c r="B23" s="44" t="inlineStr">
        <is>
          <t>乙棟</t>
        </is>
      </c>
      <c r="C23" s="44" t="n">
        <v>2</v>
      </c>
      <c r="D23" s="44" t="inlineStr">
        <is>
          <t>乙202</t>
        </is>
      </c>
      <c r="E23" s="44" t="n"/>
    </row>
    <row r="24" ht="17.15" customHeight="1" s="36">
      <c r="A24" s="52" t="inlineStr">
        <is>
          <t>2年9班</t>
        </is>
      </c>
      <c r="B24" s="44" t="inlineStr">
        <is>
          <t>乙棟</t>
        </is>
      </c>
      <c r="C24" s="44" t="n">
        <v>2</v>
      </c>
      <c r="D24" s="44" t="inlineStr">
        <is>
          <t>乙203</t>
        </is>
      </c>
      <c r="E24" s="44" t="n"/>
    </row>
    <row r="25" ht="17.15" customHeight="1" s="36">
      <c r="A25" s="52" t="inlineStr">
        <is>
          <t>2年10班</t>
        </is>
      </c>
      <c r="B25" s="44" t="inlineStr">
        <is>
          <t>乙棟</t>
        </is>
      </c>
      <c r="C25" s="44" t="n">
        <v>2</v>
      </c>
      <c r="D25" s="44" t="inlineStr">
        <is>
          <t>乙204</t>
        </is>
      </c>
      <c r="E25" s="44" t="n"/>
    </row>
    <row r="26" ht="17.15" customHeight="1" s="36">
      <c r="A26" s="52" t="inlineStr">
        <is>
          <t>2年11班</t>
        </is>
      </c>
      <c r="B26" s="44" t="inlineStr">
        <is>
          <t>乙棟</t>
        </is>
      </c>
      <c r="C26" s="44" t="n">
        <v>2</v>
      </c>
      <c r="D26" s="44" t="inlineStr">
        <is>
          <t>乙205</t>
        </is>
      </c>
      <c r="E26" s="44" t="n"/>
    </row>
    <row r="27" ht="17.15" customHeight="1" s="36">
      <c r="A27" s="52" t="inlineStr">
        <is>
          <t>3年1班</t>
        </is>
      </c>
      <c r="B27" s="44" t="inlineStr">
        <is>
          <t>丙棟</t>
        </is>
      </c>
      <c r="C27" s="44" t="n">
        <v>1</v>
      </c>
      <c r="D27" s="44" t="inlineStr">
        <is>
          <t>丙101</t>
        </is>
      </c>
      <c r="E27" s="44" t="n"/>
    </row>
    <row r="28" ht="17.15" customHeight="1" s="36">
      <c r="A28" s="52" t="inlineStr">
        <is>
          <t>3年2班</t>
        </is>
      </c>
      <c r="B28" s="44" t="inlineStr">
        <is>
          <t>丙棟</t>
        </is>
      </c>
      <c r="C28" s="44" t="n">
        <v>1</v>
      </c>
      <c r="D28" s="44" t="inlineStr">
        <is>
          <t>丙102</t>
        </is>
      </c>
      <c r="E28" s="44" t="n"/>
    </row>
    <row r="29" ht="17.15" customHeight="1" s="36">
      <c r="A29" s="52" t="inlineStr">
        <is>
          <t>3年3班</t>
        </is>
      </c>
      <c r="B29" s="44" t="inlineStr">
        <is>
          <t>丙棟</t>
        </is>
      </c>
      <c r="C29" s="44" t="n">
        <v>1</v>
      </c>
      <c r="D29" s="44" t="inlineStr">
        <is>
          <t>丙103</t>
        </is>
      </c>
      <c r="E29" s="44" t="n"/>
    </row>
    <row r="30" ht="17.15" customHeight="1" s="36">
      <c r="A30" s="52" t="inlineStr">
        <is>
          <t>3年4班</t>
        </is>
      </c>
      <c r="B30" s="44" t="inlineStr">
        <is>
          <t>丙棟</t>
        </is>
      </c>
      <c r="C30" s="44" t="n">
        <v>1</v>
      </c>
      <c r="D30" s="44" t="inlineStr">
        <is>
          <t>丙104</t>
        </is>
      </c>
      <c r="E30" s="44" t="n"/>
    </row>
    <row r="31" ht="17.15" customHeight="1" s="36">
      <c r="A31" s="52" t="inlineStr">
        <is>
          <t>3年5班</t>
        </is>
      </c>
      <c r="B31" s="44" t="inlineStr">
        <is>
          <t>丙棟</t>
        </is>
      </c>
      <c r="C31" s="44" t="n">
        <v>1</v>
      </c>
      <c r="D31" s="44" t="inlineStr">
        <is>
          <t>丙105</t>
        </is>
      </c>
      <c r="E31" s="44" t="n"/>
    </row>
    <row r="32" ht="17.15" customHeight="1" s="36">
      <c r="A32" s="52" t="inlineStr">
        <is>
          <t>3年6班</t>
        </is>
      </c>
      <c r="B32" s="44" t="inlineStr">
        <is>
          <t>丙棟</t>
        </is>
      </c>
      <c r="C32" s="44" t="n">
        <v>1</v>
      </c>
      <c r="D32" s="44" t="inlineStr">
        <is>
          <t>丙106</t>
        </is>
      </c>
      <c r="E32" s="44" t="n"/>
    </row>
    <row r="33" ht="17.15" customHeight="1" s="36">
      <c r="A33" s="52" t="inlineStr">
        <is>
          <t>3年7班</t>
        </is>
      </c>
      <c r="B33" s="44" t="inlineStr">
        <is>
          <t>丙棟</t>
        </is>
      </c>
      <c r="C33" s="44" t="n">
        <v>2</v>
      </c>
      <c r="D33" s="44" t="inlineStr">
        <is>
          <t>丙201</t>
        </is>
      </c>
      <c r="E33" s="44" t="n"/>
    </row>
    <row r="34" ht="17.15" customHeight="1" s="36">
      <c r="A34" s="52" t="inlineStr">
        <is>
          <t>3年8班</t>
        </is>
      </c>
      <c r="B34" s="44" t="inlineStr">
        <is>
          <t>丙棟</t>
        </is>
      </c>
      <c r="C34" s="44" t="n">
        <v>2</v>
      </c>
      <c r="D34" s="44" t="inlineStr">
        <is>
          <t>丙202</t>
        </is>
      </c>
      <c r="E34" s="44" t="n"/>
    </row>
    <row r="35" ht="17.15" customHeight="1" s="36">
      <c r="A35" s="52" t="inlineStr">
        <is>
          <t>3年9班</t>
        </is>
      </c>
      <c r="B35" s="44" t="inlineStr">
        <is>
          <t>丙棟</t>
        </is>
      </c>
      <c r="C35" s="44" t="n">
        <v>2</v>
      </c>
      <c r="D35" s="44" t="inlineStr">
        <is>
          <t>丙203</t>
        </is>
      </c>
      <c r="E35" s="44" t="n"/>
    </row>
    <row r="36" ht="17.15" customHeight="1" s="36">
      <c r="A36" s="52" t="inlineStr">
        <is>
          <t>3年10班</t>
        </is>
      </c>
      <c r="B36" s="44" t="inlineStr">
        <is>
          <t>丙棟</t>
        </is>
      </c>
      <c r="C36" s="44" t="n">
        <v>2</v>
      </c>
      <c r="D36" s="44" t="inlineStr">
        <is>
          <t>丙204</t>
        </is>
      </c>
      <c r="E36" s="44" t="n"/>
    </row>
    <row r="37" ht="17.15" customHeight="1" s="36">
      <c r="A37" s="52" t="inlineStr">
        <is>
          <t>3年11班</t>
        </is>
      </c>
      <c r="B37" s="44" t="inlineStr">
        <is>
          <t>丙棟</t>
        </is>
      </c>
      <c r="C37" s="44" t="n">
        <v>2</v>
      </c>
      <c r="D37" s="44" t="inlineStr">
        <is>
          <t>丙205</t>
        </is>
      </c>
      <c r="E37" s="44" t="n"/>
    </row>
    <row r="38" ht="17.15" customHeight="1" s="36">
      <c r="A38" s="52" t="inlineStr">
        <is>
          <t>3年12班</t>
        </is>
      </c>
      <c r="B38" s="44" t="inlineStr">
        <is>
          <t>丙棟</t>
        </is>
      </c>
      <c r="C38" s="44" t="n">
        <v>2</v>
      </c>
      <c r="D38" s="44" t="inlineStr">
        <is>
          <t>丙206</t>
        </is>
      </c>
      <c r="E38" s="44" t="n"/>
    </row>
    <row r="39" ht="17.15" customHeight="1" s="36">
      <c r="A39" s="52" t="inlineStr">
        <is>
          <t>4年1班</t>
        </is>
      </c>
      <c r="B39" s="44" t="inlineStr">
        <is>
          <t>甲棟</t>
        </is>
      </c>
      <c r="C39" s="44" t="n">
        <v>3</v>
      </c>
      <c r="D39" s="44" t="inlineStr">
        <is>
          <t>甲301</t>
        </is>
      </c>
      <c r="E39" s="44" t="n"/>
    </row>
    <row r="40" ht="17.15" customHeight="1" s="36">
      <c r="A40" s="52" t="inlineStr">
        <is>
          <t>4年2班</t>
        </is>
      </c>
      <c r="B40" s="44" t="inlineStr">
        <is>
          <t>甲棟</t>
        </is>
      </c>
      <c r="C40" s="44" t="n">
        <v>3</v>
      </c>
      <c r="D40" s="44" t="inlineStr">
        <is>
          <t>甲302</t>
        </is>
      </c>
      <c r="E40" s="44" t="n"/>
    </row>
    <row r="41" ht="17.15" customHeight="1" s="36">
      <c r="A41" s="52" t="inlineStr">
        <is>
          <t>4年3班</t>
        </is>
      </c>
      <c r="B41" s="44" t="inlineStr">
        <is>
          <t>甲棟</t>
        </is>
      </c>
      <c r="C41" s="44" t="n">
        <v>3</v>
      </c>
      <c r="D41" s="44" t="inlineStr">
        <is>
          <t>甲303</t>
        </is>
      </c>
      <c r="E41" s="44" t="n"/>
    </row>
    <row r="42" ht="17.15" customHeight="1" s="36">
      <c r="A42" s="52" t="inlineStr">
        <is>
          <t>4年4班</t>
        </is>
      </c>
      <c r="B42" s="44" t="inlineStr">
        <is>
          <t>甲棟</t>
        </is>
      </c>
      <c r="C42" s="44" t="n">
        <v>3</v>
      </c>
      <c r="D42" s="44" t="inlineStr">
        <is>
          <t>甲304</t>
        </is>
      </c>
      <c r="E42" s="44" t="n"/>
    </row>
    <row r="43" ht="17.15" customHeight="1" s="36">
      <c r="A43" s="52" t="inlineStr">
        <is>
          <t>4年5班</t>
        </is>
      </c>
      <c r="B43" s="44" t="inlineStr">
        <is>
          <t>甲棟</t>
        </is>
      </c>
      <c r="C43" s="44" t="n">
        <v>3</v>
      </c>
      <c r="D43" s="44" t="inlineStr">
        <is>
          <t>甲305</t>
        </is>
      </c>
      <c r="E43" s="44" t="n"/>
    </row>
    <row r="44" ht="17.15" customHeight="1" s="36">
      <c r="A44" s="52" t="inlineStr">
        <is>
          <t>4年6班</t>
        </is>
      </c>
      <c r="B44" s="44" t="inlineStr">
        <is>
          <t>甲棟</t>
        </is>
      </c>
      <c r="C44" s="44" t="n">
        <v>3</v>
      </c>
      <c r="D44" s="44" t="inlineStr">
        <is>
          <t>甲306</t>
        </is>
      </c>
      <c r="E44" s="44" t="n"/>
    </row>
    <row r="45" ht="17.15" customHeight="1" s="36">
      <c r="A45" s="52" t="inlineStr">
        <is>
          <t>4年7班</t>
        </is>
      </c>
      <c r="B45" s="44" t="inlineStr">
        <is>
          <t>甲棟</t>
        </is>
      </c>
      <c r="C45" s="44" t="n">
        <v>4</v>
      </c>
      <c r="D45" s="44" t="inlineStr">
        <is>
          <t>甲401</t>
        </is>
      </c>
      <c r="E45" s="44" t="n"/>
    </row>
    <row r="46" ht="17.15" customHeight="1" s="36">
      <c r="A46" s="52" t="inlineStr">
        <is>
          <t>4年8班</t>
        </is>
      </c>
      <c r="B46" s="44" t="inlineStr">
        <is>
          <t>甲棟</t>
        </is>
      </c>
      <c r="C46" s="44" t="n">
        <v>4</v>
      </c>
      <c r="D46" s="44" t="inlineStr">
        <is>
          <t>甲402</t>
        </is>
      </c>
      <c r="E46" s="44" t="n"/>
    </row>
    <row r="47" ht="17.15" customHeight="1" s="36">
      <c r="A47" s="52" t="inlineStr">
        <is>
          <t>4年9班</t>
        </is>
      </c>
      <c r="B47" s="44" t="inlineStr">
        <is>
          <t>甲棟</t>
        </is>
      </c>
      <c r="C47" s="44" t="n">
        <v>4</v>
      </c>
      <c r="D47" s="44" t="inlineStr">
        <is>
          <t>甲403</t>
        </is>
      </c>
      <c r="E47" s="44" t="n"/>
    </row>
    <row r="48" ht="17.15" customHeight="1" s="36">
      <c r="A48" s="52" t="inlineStr">
        <is>
          <t>4年10班</t>
        </is>
      </c>
      <c r="B48" s="44" t="inlineStr">
        <is>
          <t>甲棟</t>
        </is>
      </c>
      <c r="C48" s="44" t="n">
        <v>4</v>
      </c>
      <c r="D48" s="44" t="inlineStr">
        <is>
          <t>甲404</t>
        </is>
      </c>
      <c r="E48" s="44" t="n"/>
    </row>
    <row r="49" ht="17.15" customHeight="1" s="36">
      <c r="A49" s="52" t="inlineStr">
        <is>
          <t>4年11班</t>
        </is>
      </c>
      <c r="B49" s="44" t="inlineStr">
        <is>
          <t>甲棟</t>
        </is>
      </c>
      <c r="C49" s="44" t="n">
        <v>4</v>
      </c>
      <c r="D49" s="44" t="inlineStr">
        <is>
          <t>甲405</t>
        </is>
      </c>
      <c r="E49" s="44" t="n"/>
    </row>
    <row r="50" ht="17.15" customHeight="1" s="36">
      <c r="A50" s="52" t="inlineStr">
        <is>
          <t>4年12班</t>
        </is>
      </c>
      <c r="B50" s="44" t="inlineStr">
        <is>
          <t>甲棟</t>
        </is>
      </c>
      <c r="C50" s="44" t="n">
        <v>4</v>
      </c>
      <c r="D50" s="44" t="inlineStr">
        <is>
          <t>甲406</t>
        </is>
      </c>
      <c r="E50" s="44" t="n"/>
    </row>
    <row r="51" ht="17.15" customHeight="1" s="36">
      <c r="A51" s="52" t="inlineStr">
        <is>
          <t>5年1班</t>
        </is>
      </c>
      <c r="B51" s="44" t="inlineStr">
        <is>
          <t>乙棟</t>
        </is>
      </c>
      <c r="C51" s="44" t="n">
        <v>3</v>
      </c>
      <c r="D51" s="44" t="inlineStr">
        <is>
          <t>乙301</t>
        </is>
      </c>
      <c r="E51" s="44" t="n"/>
    </row>
    <row r="52" ht="17.15" customHeight="1" s="36">
      <c r="A52" s="52" t="inlineStr">
        <is>
          <t>5年2班</t>
        </is>
      </c>
      <c r="B52" s="44" t="inlineStr">
        <is>
          <t>乙棟</t>
        </is>
      </c>
      <c r="C52" s="44" t="n">
        <v>3</v>
      </c>
      <c r="D52" s="44" t="inlineStr">
        <is>
          <t>乙302</t>
        </is>
      </c>
      <c r="E52" s="44" t="n"/>
    </row>
    <row r="53" ht="17.15" customHeight="1" s="36">
      <c r="A53" s="52" t="inlineStr">
        <is>
          <t>5年3班</t>
        </is>
      </c>
      <c r="B53" s="44" t="inlineStr">
        <is>
          <t>乙棟</t>
        </is>
      </c>
      <c r="C53" s="44" t="n">
        <v>3</v>
      </c>
      <c r="D53" s="44" t="inlineStr">
        <is>
          <t>乙303</t>
        </is>
      </c>
      <c r="E53" s="44" t="n"/>
    </row>
    <row r="54" ht="17.15" customHeight="1" s="36">
      <c r="A54" s="52" t="inlineStr">
        <is>
          <t>5年4班</t>
        </is>
      </c>
      <c r="B54" s="44" t="inlineStr">
        <is>
          <t>乙棟</t>
        </is>
      </c>
      <c r="C54" s="44" t="n">
        <v>3</v>
      </c>
      <c r="D54" s="44" t="inlineStr">
        <is>
          <t>乙304</t>
        </is>
      </c>
      <c r="E54" s="44" t="n"/>
    </row>
    <row r="55" ht="17.15" customHeight="1" s="36">
      <c r="A55" s="52" t="inlineStr">
        <is>
          <t>5年5班</t>
        </is>
      </c>
      <c r="B55" s="44" t="inlineStr">
        <is>
          <t>乙棟</t>
        </is>
      </c>
      <c r="C55" s="44" t="n">
        <v>3</v>
      </c>
      <c r="D55" s="44" t="inlineStr">
        <is>
          <t>乙305</t>
        </is>
      </c>
      <c r="E55" s="44" t="n"/>
    </row>
    <row r="56" ht="17.15" customHeight="1" s="36">
      <c r="A56" s="52" t="inlineStr">
        <is>
          <t>5年6班</t>
        </is>
      </c>
      <c r="B56" s="44" t="inlineStr">
        <is>
          <t>乙棟</t>
        </is>
      </c>
      <c r="C56" s="44" t="n">
        <v>3</v>
      </c>
      <c r="D56" s="44" t="inlineStr">
        <is>
          <t>乙306</t>
        </is>
      </c>
      <c r="E56" s="44" t="n"/>
    </row>
    <row r="57" ht="17.15" customHeight="1" s="36">
      <c r="A57" s="52" t="inlineStr">
        <is>
          <t>5年7班</t>
        </is>
      </c>
      <c r="B57" s="44" t="inlineStr">
        <is>
          <t>乙棟</t>
        </is>
      </c>
      <c r="C57" s="44" t="n">
        <v>4</v>
      </c>
      <c r="D57" s="44" t="inlineStr">
        <is>
          <t>乙401</t>
        </is>
      </c>
      <c r="E57" s="44" t="n"/>
    </row>
    <row r="58" ht="17.15" customHeight="1" s="36">
      <c r="A58" s="52" t="inlineStr">
        <is>
          <t>5年8班</t>
        </is>
      </c>
      <c r="B58" s="44" t="inlineStr">
        <is>
          <t>乙棟</t>
        </is>
      </c>
      <c r="C58" s="44" t="n">
        <v>4</v>
      </c>
      <c r="D58" s="44" t="inlineStr">
        <is>
          <t>乙402</t>
        </is>
      </c>
      <c r="E58" s="44" t="n"/>
    </row>
    <row r="59" ht="17.15" customHeight="1" s="36">
      <c r="A59" s="52" t="inlineStr">
        <is>
          <t>5年9班</t>
        </is>
      </c>
      <c r="B59" s="44" t="inlineStr">
        <is>
          <t>乙棟</t>
        </is>
      </c>
      <c r="C59" s="44" t="n">
        <v>4</v>
      </c>
      <c r="D59" s="44" t="inlineStr">
        <is>
          <t>乙403</t>
        </is>
      </c>
      <c r="E59" s="44" t="n"/>
    </row>
    <row r="60" ht="17.15" customHeight="1" s="36">
      <c r="A60" s="52" t="inlineStr">
        <is>
          <t>5年10班</t>
        </is>
      </c>
      <c r="B60" s="44" t="inlineStr">
        <is>
          <t>乙棟</t>
        </is>
      </c>
      <c r="C60" s="44" t="n">
        <v>4</v>
      </c>
      <c r="D60" s="44" t="inlineStr">
        <is>
          <t>乙404</t>
        </is>
      </c>
      <c r="E60" s="44" t="n"/>
    </row>
    <row r="61" ht="17.15" customHeight="1" s="36">
      <c r="A61" s="52" t="inlineStr">
        <is>
          <t>5年11班</t>
        </is>
      </c>
      <c r="B61" s="44" t="inlineStr">
        <is>
          <t>乙棟</t>
        </is>
      </c>
      <c r="C61" s="44" t="n">
        <v>4</v>
      </c>
      <c r="D61" s="44" t="inlineStr">
        <is>
          <t>乙405</t>
        </is>
      </c>
      <c r="E61" s="44" t="n"/>
    </row>
    <row r="62" ht="17.15" customHeight="1" s="36">
      <c r="A62" s="52" t="inlineStr">
        <is>
          <t>5年12班</t>
        </is>
      </c>
      <c r="B62" s="44" t="inlineStr">
        <is>
          <t>乙棟</t>
        </is>
      </c>
      <c r="C62" s="44" t="n">
        <v>4</v>
      </c>
      <c r="D62" s="44" t="inlineStr">
        <is>
          <t>乙406</t>
        </is>
      </c>
      <c r="E62" s="44" t="n"/>
    </row>
    <row r="63" ht="17.15" customHeight="1" s="36">
      <c r="A63" s="52" t="inlineStr">
        <is>
          <t>6年1班</t>
        </is>
      </c>
      <c r="B63" s="44" t="inlineStr">
        <is>
          <t>丙棟</t>
        </is>
      </c>
      <c r="C63" s="44" t="n">
        <v>3</v>
      </c>
      <c r="D63" s="44" t="inlineStr">
        <is>
          <t>丙301</t>
        </is>
      </c>
      <c r="E63" s="44" t="n"/>
    </row>
    <row r="64" ht="17.15" customHeight="1" s="36">
      <c r="A64" s="52" t="inlineStr">
        <is>
          <t>6年2班</t>
        </is>
      </c>
      <c r="B64" s="44" t="inlineStr">
        <is>
          <t>丙棟</t>
        </is>
      </c>
      <c r="C64" s="44" t="n">
        <v>3</v>
      </c>
      <c r="D64" s="44" t="inlineStr">
        <is>
          <t>丙302</t>
        </is>
      </c>
      <c r="E64" s="44" t="n"/>
    </row>
    <row r="65" ht="17.15" customHeight="1" s="36">
      <c r="A65" s="52" t="inlineStr">
        <is>
          <t>6年3班</t>
        </is>
      </c>
      <c r="B65" s="44" t="inlineStr">
        <is>
          <t>丙棟</t>
        </is>
      </c>
      <c r="C65" s="44" t="n">
        <v>3</v>
      </c>
      <c r="D65" s="44" t="inlineStr">
        <is>
          <t>丙303</t>
        </is>
      </c>
      <c r="E65" s="44" t="n"/>
    </row>
    <row r="66" ht="17.15" customHeight="1" s="36">
      <c r="A66" s="52" t="inlineStr">
        <is>
          <t>6年4班</t>
        </is>
      </c>
      <c r="B66" s="44" t="inlineStr">
        <is>
          <t>丙棟</t>
        </is>
      </c>
      <c r="C66" s="44" t="n">
        <v>3</v>
      </c>
      <c r="D66" s="44" t="inlineStr">
        <is>
          <t>丙304</t>
        </is>
      </c>
      <c r="E66" s="44" t="n"/>
    </row>
    <row r="67" ht="17.15" customHeight="1" s="36">
      <c r="A67" s="52" t="inlineStr">
        <is>
          <t>6年5班</t>
        </is>
      </c>
      <c r="B67" s="44" t="inlineStr">
        <is>
          <t>丙棟</t>
        </is>
      </c>
      <c r="C67" s="44" t="n">
        <v>3</v>
      </c>
      <c r="D67" s="44" t="inlineStr">
        <is>
          <t>丙305</t>
        </is>
      </c>
      <c r="E67" s="44" t="n"/>
    </row>
    <row r="68" ht="17.15" customHeight="1" s="36">
      <c r="A68" s="52" t="inlineStr">
        <is>
          <t>6年6班</t>
        </is>
      </c>
      <c r="B68" s="44" t="inlineStr">
        <is>
          <t>丙棟</t>
        </is>
      </c>
      <c r="C68" s="44" t="n">
        <v>3</v>
      </c>
      <c r="D68" s="44" t="inlineStr">
        <is>
          <t>丙306</t>
        </is>
      </c>
      <c r="E68" s="44" t="n"/>
    </row>
    <row r="69" ht="17.15" customHeight="1" s="36">
      <c r="A69" s="52" t="inlineStr">
        <is>
          <t>6年7班</t>
        </is>
      </c>
      <c r="B69" s="44" t="inlineStr">
        <is>
          <t>丙棟</t>
        </is>
      </c>
      <c r="C69" s="44" t="n">
        <v>4</v>
      </c>
      <c r="D69" s="44" t="inlineStr">
        <is>
          <t>丙401</t>
        </is>
      </c>
      <c r="E69" s="44" t="n"/>
    </row>
    <row r="70" ht="17.15" customHeight="1" s="36">
      <c r="A70" s="52" t="inlineStr">
        <is>
          <t>6年8班</t>
        </is>
      </c>
      <c r="B70" s="44" t="inlineStr">
        <is>
          <t>丙棟</t>
        </is>
      </c>
      <c r="C70" s="44" t="n">
        <v>4</v>
      </c>
      <c r="D70" s="44" t="inlineStr">
        <is>
          <t>丙402</t>
        </is>
      </c>
      <c r="E70" s="44" t="n"/>
    </row>
    <row r="71" ht="17.15" customHeight="1" s="36">
      <c r="A71" s="52" t="inlineStr">
        <is>
          <t>6年9班</t>
        </is>
      </c>
      <c r="B71" s="44" t="inlineStr">
        <is>
          <t>丙棟</t>
        </is>
      </c>
      <c r="C71" s="44" t="n">
        <v>4</v>
      </c>
      <c r="D71" s="44" t="inlineStr">
        <is>
          <t>丙403</t>
        </is>
      </c>
      <c r="E71" s="44" t="n"/>
    </row>
    <row r="72" ht="17.15" customHeight="1" s="36">
      <c r="A72" s="52" t="inlineStr">
        <is>
          <t>6年10班</t>
        </is>
      </c>
      <c r="B72" s="44" t="inlineStr">
        <is>
          <t>丙棟</t>
        </is>
      </c>
      <c r="C72" s="44" t="n">
        <v>4</v>
      </c>
      <c r="D72" s="44" t="inlineStr">
        <is>
          <t>丙404</t>
        </is>
      </c>
      <c r="E72" s="44" t="n"/>
    </row>
    <row r="73" ht="17.15" customHeight="1" s="36">
      <c r="A73" s="52" t="inlineStr">
        <is>
          <t>6年11班</t>
        </is>
      </c>
      <c r="B73" s="44" t="inlineStr">
        <is>
          <t>丙棟</t>
        </is>
      </c>
      <c r="C73" s="44" t="n">
        <v>4</v>
      </c>
      <c r="D73" s="44" t="inlineStr">
        <is>
          <t>丙405</t>
        </is>
      </c>
      <c r="E73" s="44" t="n"/>
    </row>
    <row r="74" ht="17.15" customHeight="1" s="36">
      <c r="A74" s="52" t="inlineStr">
        <is>
          <t>6年12班</t>
        </is>
      </c>
      <c r="B74" s="44" t="inlineStr">
        <is>
          <t>丙棟</t>
        </is>
      </c>
      <c r="C74" s="44" t="n">
        <v>4</v>
      </c>
      <c r="D74" s="44" t="inlineStr">
        <is>
          <t>丙406</t>
        </is>
      </c>
      <c r="E74" s="44" t="n"/>
    </row>
  </sheetData>
  <mergeCells count="2">
    <mergeCell ref="A2:E2"/>
    <mergeCell ref="A1:E1"/>
  </mergeCells>
  <printOptions horizontalCentered="1" verticalCentered="0" headings="0" gridLines="0" gridLinesSet="1"/>
  <pageMargins left="0.75" right="0.75" top="1" bottom="1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F3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5" min="1" max="1"/>
    <col width="8" customWidth="1" style="35" min="2" max="2"/>
    <col width="12" customWidth="1" style="35" min="3" max="3"/>
    <col width="8" customWidth="1" style="35" min="4" max="4"/>
    <col width="32" customWidth="1" style="35" min="5" max="5"/>
    <col width="14" customWidth="1" style="35" min="6" max="6"/>
  </cols>
  <sheetData>
    <row r="1" ht="27.75" customHeight="1" s="36">
      <c r="A1" s="48" t="inlineStr">
        <is>
          <t>8. 老師個人需求</t>
        </is>
      </c>
    </row>
    <row r="2" ht="36" customHeight="1" s="36">
      <c r="A2" s="49" t="inlineStr">
        <is>
          <t>一列＝一個不想被排的時段。「必須」每人最多 3 節，其餘請選「希望」。節次可選 1–7，或上午／下午／整天。</t>
        </is>
      </c>
    </row>
    <row r="3" ht="32.8" customHeight="1" s="36">
      <c r="A3" s="39" t="inlineStr">
        <is>
          <t>教師姓名</t>
        </is>
      </c>
      <c r="B3" s="39" t="inlineStr">
        <is>
          <t>星期</t>
        </is>
      </c>
      <c r="C3" s="39" t="inlineStr">
        <is>
          <t>節次／時段</t>
        </is>
      </c>
      <c r="D3" s="39" t="inlineStr">
        <is>
          <t>程度</t>
        </is>
      </c>
      <c r="E3" s="39" t="inlineStr">
        <is>
          <t>原因（選填）</t>
        </is>
      </c>
      <c r="F3" s="39" t="inlineStr">
        <is>
          <t>此老師「必須」節數</t>
        </is>
      </c>
    </row>
    <row r="4" ht="15" customHeight="1" s="36">
      <c r="A4" s="54" t="inlineStr">
        <is>
          <t>（範例）王小明</t>
        </is>
      </c>
      <c r="B4" s="54" t="inlineStr">
        <is>
          <t>五</t>
        </is>
      </c>
      <c r="C4" s="54" t="inlineStr">
        <is>
          <t>下午</t>
        </is>
      </c>
      <c r="D4" s="54" t="inlineStr">
        <is>
          <t>希望</t>
        </is>
      </c>
      <c r="E4" s="54" t="inlineStr">
        <is>
          <t>接送小孩</t>
        </is>
      </c>
      <c r="F4" s="54" t="n"/>
    </row>
    <row r="5" ht="15" customHeight="1" s="36">
      <c r="A5" s="44" t="inlineStr">
        <is>
          <t>音樂己</t>
        </is>
      </c>
      <c r="B5" s="52" t="inlineStr">
        <is>
          <t>五</t>
        </is>
      </c>
      <c r="C5" s="52" t="inlineStr">
        <is>
          <t>1</t>
        </is>
      </c>
      <c r="D5" s="52" t="inlineStr">
        <is>
          <t>希望</t>
        </is>
      </c>
      <c r="E5" s="44" t="n"/>
      <c r="F5" s="56">
        <f>IF(A5="","",COUNTIFS($A$5:$A$304,A5,$D$5:$D$304,"必須"))</f>
        <v/>
      </c>
    </row>
    <row r="6" ht="15" customHeight="1" s="36">
      <c r="A6" s="44" t="inlineStr">
        <is>
          <t>體育丁</t>
        </is>
      </c>
      <c r="B6" s="52" t="inlineStr">
        <is>
          <t>一</t>
        </is>
      </c>
      <c r="C6" s="52" t="inlineStr">
        <is>
          <t>6</t>
        </is>
      </c>
      <c r="D6" s="52" t="inlineStr">
        <is>
          <t>必須</t>
        </is>
      </c>
      <c r="E6" s="44" t="inlineStr">
        <is>
          <t>身體因素</t>
        </is>
      </c>
      <c r="F6" s="56">
        <f>IF(A6="","",COUNTIFS($A$5:$A$304,A6,$D$5:$D$304,"必須"))</f>
        <v/>
      </c>
    </row>
    <row r="7" ht="15" customHeight="1" s="36">
      <c r="A7" s="44" t="inlineStr">
        <is>
          <t>體育丁</t>
        </is>
      </c>
      <c r="B7" s="52" t="inlineStr">
        <is>
          <t>五</t>
        </is>
      </c>
      <c r="C7" s="52" t="inlineStr">
        <is>
          <t>3</t>
        </is>
      </c>
      <c r="D7" s="52" t="inlineStr">
        <is>
          <t>必須</t>
        </is>
      </c>
      <c r="E7" s="44" t="n"/>
      <c r="F7" s="56">
        <f>IF(A7="","",COUNTIFS($A$5:$A$304,A7,$D$5:$D$304,"必須"))</f>
        <v/>
      </c>
    </row>
    <row r="8" ht="15" customHeight="1" s="36">
      <c r="A8" s="44" t="inlineStr">
        <is>
          <t>體育丁</t>
        </is>
      </c>
      <c r="B8" s="52" t="inlineStr">
        <is>
          <t>一</t>
        </is>
      </c>
      <c r="C8" s="52" t="inlineStr">
        <is>
          <t>1</t>
        </is>
      </c>
      <c r="D8" s="52" t="inlineStr">
        <is>
          <t>希望</t>
        </is>
      </c>
      <c r="E8" s="44" t="n"/>
      <c r="F8" s="56">
        <f>IF(A8="","",COUNTIFS($A$5:$A$304,A8,$D$5:$D$304,"必須"))</f>
        <v/>
      </c>
    </row>
    <row r="9" ht="15" customHeight="1" s="36">
      <c r="A9" s="44" t="inlineStr">
        <is>
          <t>健康丙</t>
        </is>
      </c>
      <c r="B9" s="52" t="inlineStr">
        <is>
          <t>五</t>
        </is>
      </c>
      <c r="C9" s="52" t="inlineStr">
        <is>
          <t>下午</t>
        </is>
      </c>
      <c r="D9" s="52" t="inlineStr">
        <is>
          <t>希望</t>
        </is>
      </c>
      <c r="E9" s="44" t="inlineStr">
        <is>
          <t>接送小孩</t>
        </is>
      </c>
      <c r="F9" s="56">
        <f>IF(A9="","",COUNTIFS($A$5:$A$304,A9,$D$5:$D$304,"必須"))</f>
        <v/>
      </c>
    </row>
    <row r="10" ht="15" customHeight="1" s="36">
      <c r="A10" s="44" t="inlineStr">
        <is>
          <t>社會丙</t>
        </is>
      </c>
      <c r="B10" s="52" t="inlineStr">
        <is>
          <t>五</t>
        </is>
      </c>
      <c r="C10" s="52" t="inlineStr">
        <is>
          <t>1</t>
        </is>
      </c>
      <c r="D10" s="52" t="inlineStr">
        <is>
          <t>必須</t>
        </is>
      </c>
      <c r="E10" s="44" t="inlineStr">
        <is>
          <t>身體因素</t>
        </is>
      </c>
      <c r="F10" s="56">
        <f>IF(A10="","",COUNTIFS($A$5:$A$304,A10,$D$5:$D$304,"必須"))</f>
        <v/>
      </c>
    </row>
    <row r="11" ht="15" customHeight="1" s="36">
      <c r="A11" s="44" t="inlineStr">
        <is>
          <t>社會丙</t>
        </is>
      </c>
      <c r="B11" s="52" t="inlineStr">
        <is>
          <t>五</t>
        </is>
      </c>
      <c r="C11" s="52" t="inlineStr">
        <is>
          <t>6</t>
        </is>
      </c>
      <c r="D11" s="52" t="inlineStr">
        <is>
          <t>必須</t>
        </is>
      </c>
      <c r="E11" s="44" t="inlineStr">
        <is>
          <t>身體因素</t>
        </is>
      </c>
      <c r="F11" s="56">
        <f>IF(A11="","",COUNTIFS($A$5:$A$304,A11,$D$5:$D$304,"必須"))</f>
        <v/>
      </c>
    </row>
    <row r="12" ht="15" customHeight="1" s="36">
      <c r="A12" s="44" t="inlineStr">
        <is>
          <t>社會丙</t>
        </is>
      </c>
      <c r="B12" s="52" t="inlineStr">
        <is>
          <t>三</t>
        </is>
      </c>
      <c r="C12" s="52" t="inlineStr">
        <is>
          <t>1</t>
        </is>
      </c>
      <c r="D12" s="52" t="inlineStr">
        <is>
          <t>希望</t>
        </is>
      </c>
      <c r="E12" s="44" t="n"/>
      <c r="F12" s="56">
        <f>IF(A12="","",COUNTIFS($A$5:$A$304,A12,$D$5:$D$304,"必須"))</f>
        <v/>
      </c>
    </row>
    <row r="13" ht="15" customHeight="1" s="36">
      <c r="A13" s="44" t="inlineStr">
        <is>
          <t>資訊甲</t>
        </is>
      </c>
      <c r="B13" s="52" t="inlineStr">
        <is>
          <t>五</t>
        </is>
      </c>
      <c r="C13" s="52" t="inlineStr">
        <is>
          <t>下午</t>
        </is>
      </c>
      <c r="D13" s="52" t="inlineStr">
        <is>
          <t>希望</t>
        </is>
      </c>
      <c r="E13" s="44" t="inlineStr">
        <is>
          <t>接送小孩</t>
        </is>
      </c>
      <c r="F13" s="56">
        <f>IF(A13="","",COUNTIFS($A$5:$A$304,A13,$D$5:$D$304,"必須"))</f>
        <v/>
      </c>
    </row>
    <row r="14" ht="15" customHeight="1" s="36">
      <c r="A14" s="44" t="inlineStr">
        <is>
          <t>健康甲</t>
        </is>
      </c>
      <c r="B14" s="52" t="inlineStr">
        <is>
          <t>五</t>
        </is>
      </c>
      <c r="C14" s="52" t="inlineStr">
        <is>
          <t>2</t>
        </is>
      </c>
      <c r="D14" s="52" t="inlineStr">
        <is>
          <t>必須</t>
        </is>
      </c>
      <c r="E14" s="44" t="n"/>
      <c r="F14" s="56">
        <f>IF(A14="","",COUNTIFS($A$5:$A$304,A14,$D$5:$D$304,"必須"))</f>
        <v/>
      </c>
    </row>
    <row r="15" ht="15" customHeight="1" s="36">
      <c r="A15" s="44" t="inlineStr">
        <is>
          <t>健康甲</t>
        </is>
      </c>
      <c r="B15" s="52" t="inlineStr">
        <is>
          <t>三</t>
        </is>
      </c>
      <c r="C15" s="52" t="inlineStr">
        <is>
          <t>6</t>
        </is>
      </c>
      <c r="D15" s="52" t="inlineStr">
        <is>
          <t>必須</t>
        </is>
      </c>
      <c r="E15" s="44" t="inlineStr">
        <is>
          <t>身體因素</t>
        </is>
      </c>
      <c r="F15" s="56">
        <f>IF(A15="","",COUNTIFS($A$5:$A$304,A15,$D$5:$D$304,"必須"))</f>
        <v/>
      </c>
    </row>
    <row r="16" ht="15" customHeight="1" s="36">
      <c r="A16" s="44" t="inlineStr">
        <is>
          <t>健康甲</t>
        </is>
      </c>
      <c r="B16" s="52" t="inlineStr">
        <is>
          <t>五</t>
        </is>
      </c>
      <c r="C16" s="52" t="inlineStr">
        <is>
          <t>下午</t>
        </is>
      </c>
      <c r="D16" s="52" t="inlineStr">
        <is>
          <t>希望</t>
        </is>
      </c>
      <c r="E16" s="44" t="inlineStr">
        <is>
          <t>接送小孩</t>
        </is>
      </c>
      <c r="F16" s="56">
        <f>IF(A16="","",COUNTIFS($A$5:$A$304,A16,$D$5:$D$304,"必須"))</f>
        <v/>
      </c>
    </row>
    <row r="17" ht="15" customHeight="1" s="36">
      <c r="A17" s="44" t="inlineStr">
        <is>
          <t>英語丁</t>
        </is>
      </c>
      <c r="B17" s="52" t="inlineStr">
        <is>
          <t>五</t>
        </is>
      </c>
      <c r="C17" s="52" t="inlineStr">
        <is>
          <t>6</t>
        </is>
      </c>
      <c r="D17" s="52" t="inlineStr">
        <is>
          <t>必須</t>
        </is>
      </c>
      <c r="E17" s="44" t="inlineStr">
        <is>
          <t>進修</t>
        </is>
      </c>
      <c r="F17" s="56">
        <f>IF(A17="","",COUNTIFS($A$5:$A$304,A17,$D$5:$D$304,"必須"))</f>
        <v/>
      </c>
    </row>
    <row r="18" ht="15" customHeight="1" s="36">
      <c r="A18" s="44" t="inlineStr">
        <is>
          <t>英語丁</t>
        </is>
      </c>
      <c r="B18" s="52" t="inlineStr">
        <is>
          <t>一</t>
        </is>
      </c>
      <c r="C18" s="52" t="inlineStr">
        <is>
          <t>4</t>
        </is>
      </c>
      <c r="D18" s="52" t="inlineStr">
        <is>
          <t>必須</t>
        </is>
      </c>
      <c r="E18" s="44" t="inlineStr">
        <is>
          <t>兼任行政會議</t>
        </is>
      </c>
      <c r="F18" s="56">
        <f>IF(A18="","",COUNTIFS($A$5:$A$304,A18,$D$5:$D$304,"必須"))</f>
        <v/>
      </c>
    </row>
    <row r="19" ht="15" customHeight="1" s="36">
      <c r="A19" s="44" t="inlineStr">
        <is>
          <t>英語丁</t>
        </is>
      </c>
      <c r="B19" s="52" t="inlineStr">
        <is>
          <t>二</t>
        </is>
      </c>
      <c r="C19" s="52" t="inlineStr">
        <is>
          <t>4</t>
        </is>
      </c>
      <c r="D19" s="52" t="inlineStr">
        <is>
          <t>必須</t>
        </is>
      </c>
      <c r="E19" s="44" t="inlineStr">
        <is>
          <t>身體因素</t>
        </is>
      </c>
      <c r="F19" s="56">
        <f>IF(A19="","",COUNTIFS($A$5:$A$304,A19,$D$5:$D$304,"必須"))</f>
        <v/>
      </c>
    </row>
    <row r="20" ht="15" customHeight="1" s="36">
      <c r="A20" s="44" t="inlineStr">
        <is>
          <t>英語丁</t>
        </is>
      </c>
      <c r="B20" s="52" t="inlineStr">
        <is>
          <t>五</t>
        </is>
      </c>
      <c r="C20" s="52" t="inlineStr">
        <is>
          <t>下午</t>
        </is>
      </c>
      <c r="D20" s="52" t="inlineStr">
        <is>
          <t>希望</t>
        </is>
      </c>
      <c r="E20" s="44" t="inlineStr">
        <is>
          <t>接送小孩</t>
        </is>
      </c>
      <c r="F20" s="56">
        <f>IF(A20="","",COUNTIFS($A$5:$A$304,A20,$D$5:$D$304,"必須"))</f>
        <v/>
      </c>
    </row>
    <row r="21" ht="15" customHeight="1" s="36">
      <c r="A21" s="44" t="inlineStr">
        <is>
          <t>自然丙</t>
        </is>
      </c>
      <c r="B21" s="52" t="inlineStr">
        <is>
          <t>五</t>
        </is>
      </c>
      <c r="C21" s="52" t="inlineStr">
        <is>
          <t>2</t>
        </is>
      </c>
      <c r="D21" s="52" t="inlineStr">
        <is>
          <t>必須</t>
        </is>
      </c>
      <c r="E21" s="44" t="n"/>
      <c r="F21" s="56">
        <f>IF(A21="","",COUNTIFS($A$5:$A$304,A21,$D$5:$D$304,"必須"))</f>
        <v/>
      </c>
    </row>
    <row r="22" ht="15" customHeight="1" s="36">
      <c r="A22" s="44" t="inlineStr">
        <is>
          <t>自然丙</t>
        </is>
      </c>
      <c r="B22" s="52" t="inlineStr">
        <is>
          <t>五</t>
        </is>
      </c>
      <c r="C22" s="52" t="inlineStr">
        <is>
          <t>下午</t>
        </is>
      </c>
      <c r="D22" s="52" t="inlineStr">
        <is>
          <t>希望</t>
        </is>
      </c>
      <c r="E22" s="44" t="inlineStr">
        <is>
          <t>接送小孩</t>
        </is>
      </c>
      <c r="F22" s="56">
        <f>IF(A22="","",COUNTIFS($A$5:$A$304,A22,$D$5:$D$304,"必須"))</f>
        <v/>
      </c>
    </row>
    <row r="23" ht="15" customHeight="1" s="36">
      <c r="A23" s="44" t="inlineStr">
        <is>
          <t>音樂丁</t>
        </is>
      </c>
      <c r="B23" s="52" t="inlineStr">
        <is>
          <t>四</t>
        </is>
      </c>
      <c r="C23" s="52" t="inlineStr">
        <is>
          <t>3</t>
        </is>
      </c>
      <c r="D23" s="52" t="inlineStr">
        <is>
          <t>必須</t>
        </is>
      </c>
      <c r="E23" s="44" t="inlineStr">
        <is>
          <t>接送小孩</t>
        </is>
      </c>
      <c r="F23" s="56">
        <f>IF(A23="","",COUNTIFS($A$5:$A$304,A23,$D$5:$D$304,"必須"))</f>
        <v/>
      </c>
    </row>
    <row r="24" ht="15" customHeight="1" s="36">
      <c r="A24" s="44" t="inlineStr">
        <is>
          <t>音樂丁</t>
        </is>
      </c>
      <c r="B24" s="52" t="inlineStr">
        <is>
          <t>三</t>
        </is>
      </c>
      <c r="C24" s="52" t="inlineStr">
        <is>
          <t>6</t>
        </is>
      </c>
      <c r="D24" s="52" t="inlineStr">
        <is>
          <t>必須</t>
        </is>
      </c>
      <c r="E24" s="44" t="inlineStr">
        <is>
          <t>接送小孩</t>
        </is>
      </c>
      <c r="F24" s="56">
        <f>IF(A24="","",COUNTIFS($A$5:$A$304,A24,$D$5:$D$304,"必須"))</f>
        <v/>
      </c>
    </row>
    <row r="25" ht="15" customHeight="1" s="36">
      <c r="A25" s="44" t="inlineStr">
        <is>
          <t>音樂丁</t>
        </is>
      </c>
      <c r="B25" s="52" t="inlineStr">
        <is>
          <t>二</t>
        </is>
      </c>
      <c r="C25" s="52" t="inlineStr">
        <is>
          <t>2</t>
        </is>
      </c>
      <c r="D25" s="52" t="inlineStr">
        <is>
          <t>必須</t>
        </is>
      </c>
      <c r="E25" s="44" t="inlineStr">
        <is>
          <t>接送小孩</t>
        </is>
      </c>
      <c r="F25" s="56">
        <f>IF(A25="","",COUNTIFS($A$5:$A$304,A25,$D$5:$D$304,"必須"))</f>
        <v/>
      </c>
    </row>
    <row r="26" ht="15" customHeight="1" s="36">
      <c r="A26" s="44" t="inlineStr">
        <is>
          <t>音樂丁</t>
        </is>
      </c>
      <c r="B26" s="52" t="inlineStr">
        <is>
          <t>五</t>
        </is>
      </c>
      <c r="C26" s="52" t="inlineStr">
        <is>
          <t>下午</t>
        </is>
      </c>
      <c r="D26" s="52" t="inlineStr">
        <is>
          <t>希望</t>
        </is>
      </c>
      <c r="E26" s="44" t="inlineStr">
        <is>
          <t>接送小孩</t>
        </is>
      </c>
      <c r="F26" s="56">
        <f>IF(A26="","",COUNTIFS($A$5:$A$304,A26,$D$5:$D$304,"必須"))</f>
        <v/>
      </c>
    </row>
    <row r="27" ht="15" customHeight="1" s="36">
      <c r="A27" s="44" t="inlineStr">
        <is>
          <t>社會丁</t>
        </is>
      </c>
      <c r="B27" s="52" t="inlineStr">
        <is>
          <t>五</t>
        </is>
      </c>
      <c r="C27" s="52" t="inlineStr">
        <is>
          <t>下午</t>
        </is>
      </c>
      <c r="D27" s="52" t="inlineStr">
        <is>
          <t>希望</t>
        </is>
      </c>
      <c r="E27" s="44" t="inlineStr">
        <is>
          <t>接送小孩</t>
        </is>
      </c>
      <c r="F27" s="56">
        <f>IF(A27="","",COUNTIFS($A$5:$A$304,A27,$D$5:$D$304,"必須"))</f>
        <v/>
      </c>
    </row>
    <row r="28" ht="15" customHeight="1" s="36">
      <c r="A28" s="44" t="inlineStr">
        <is>
          <t>自然乙</t>
        </is>
      </c>
      <c r="B28" s="52" t="inlineStr">
        <is>
          <t>四</t>
        </is>
      </c>
      <c r="C28" s="52" t="inlineStr">
        <is>
          <t>3</t>
        </is>
      </c>
      <c r="D28" s="52" t="inlineStr">
        <is>
          <t>必須</t>
        </is>
      </c>
      <c r="E28" s="44" t="inlineStr">
        <is>
          <t>接送小孩</t>
        </is>
      </c>
      <c r="F28" s="56">
        <f>IF(A28="","",COUNTIFS($A$5:$A$304,A28,$D$5:$D$304,"必須"))</f>
        <v/>
      </c>
    </row>
    <row r="29" ht="15" customHeight="1" s="36">
      <c r="A29" s="44" t="inlineStr">
        <is>
          <t>自然乙</t>
        </is>
      </c>
      <c r="B29" s="52" t="inlineStr">
        <is>
          <t>四</t>
        </is>
      </c>
      <c r="C29" s="52" t="inlineStr">
        <is>
          <t>1</t>
        </is>
      </c>
      <c r="D29" s="52" t="inlineStr">
        <is>
          <t>希望</t>
        </is>
      </c>
      <c r="E29" s="44" t="n"/>
      <c r="F29" s="56">
        <f>IF(A29="","",COUNTIFS($A$5:$A$304,A29,$D$5:$D$304,"必須"))</f>
        <v/>
      </c>
    </row>
    <row r="30" ht="15" customHeight="1" s="36">
      <c r="A30" s="44" t="n"/>
      <c r="B30" s="52" t="n"/>
      <c r="C30" s="52" t="n"/>
      <c r="D30" s="52" t="n"/>
      <c r="E30" s="44" t="n"/>
      <c r="F30" s="56">
        <f>IF(A30="","",COUNTIFS($A$5:$A$304,A30,$D$5:$D$304,"必須"))</f>
        <v/>
      </c>
    </row>
    <row r="31" ht="15" customHeight="1" s="36">
      <c r="A31" s="44" t="n"/>
      <c r="B31" s="52" t="n"/>
      <c r="C31" s="52" t="n"/>
      <c r="D31" s="52" t="n"/>
      <c r="E31" s="44" t="n"/>
      <c r="F31" s="56">
        <f>IF(A31="","",COUNTIFS($A$5:$A$304,A31,$D$5:$D$304,"必須"))</f>
        <v/>
      </c>
    </row>
    <row r="32" ht="15" customHeight="1" s="36">
      <c r="A32" s="44" t="n"/>
      <c r="B32" s="52" t="n"/>
      <c r="C32" s="52" t="n"/>
      <c r="D32" s="52" t="n"/>
      <c r="E32" s="44" t="n"/>
      <c r="F32" s="56">
        <f>IF(A32="","",COUNTIFS($A$5:$A$304,A32,$D$5:$D$304,"必須"))</f>
        <v/>
      </c>
    </row>
    <row r="33" ht="15" customHeight="1" s="36">
      <c r="A33" s="44" t="n"/>
      <c r="B33" s="52" t="n"/>
      <c r="C33" s="52" t="n"/>
      <c r="D33" s="52" t="n"/>
      <c r="E33" s="44" t="n"/>
      <c r="F33" s="56">
        <f>IF(A33="","",COUNTIFS($A$5:$A$304,A33,$D$5:$D$304,"必須"))</f>
        <v/>
      </c>
    </row>
    <row r="34" ht="15" customHeight="1" s="36">
      <c r="A34" s="44" t="n"/>
      <c r="B34" s="52" t="n"/>
      <c r="C34" s="52" t="n"/>
      <c r="D34" s="52" t="n"/>
      <c r="E34" s="44" t="n"/>
      <c r="F34" s="56">
        <f>IF(A34="","",COUNTIFS($A$5:$A$304,A34,$D$5:$D$304,"必須"))</f>
        <v/>
      </c>
    </row>
    <row r="35" ht="15" customHeight="1" s="36">
      <c r="A35" s="44" t="n"/>
      <c r="B35" s="52" t="n"/>
      <c r="C35" s="52" t="n"/>
      <c r="D35" s="52" t="n"/>
      <c r="E35" s="44" t="n"/>
      <c r="F35" s="56">
        <f>IF(A35="","",COUNTIFS($A$5:$A$304,A35,$D$5:$D$304,"必須"))</f>
        <v/>
      </c>
    </row>
    <row r="36" ht="15" customHeight="1" s="36">
      <c r="A36" s="44" t="n"/>
      <c r="B36" s="52" t="n"/>
      <c r="C36" s="52" t="n"/>
      <c r="D36" s="52" t="n"/>
      <c r="E36" s="44" t="n"/>
      <c r="F36" s="56">
        <f>IF(A36="","",COUNTIFS($A$5:$A$304,A36,$D$5:$D$304,"必須"))</f>
        <v/>
      </c>
    </row>
    <row r="37" ht="15" customHeight="1" s="36">
      <c r="A37" s="44" t="n"/>
      <c r="B37" s="52" t="n"/>
      <c r="C37" s="52" t="n"/>
      <c r="D37" s="52" t="n"/>
      <c r="E37" s="44" t="n"/>
      <c r="F37" s="56">
        <f>IF(A37="","",COUNTIFS($A$5:$A$304,A37,$D$5:$D$304,"必須"))</f>
        <v/>
      </c>
    </row>
    <row r="38" ht="15" customHeight="1" s="36">
      <c r="A38" s="44" t="n"/>
      <c r="B38" s="52" t="n"/>
      <c r="C38" s="52" t="n"/>
      <c r="D38" s="52" t="n"/>
      <c r="E38" s="44" t="n"/>
      <c r="F38" s="56">
        <f>IF(A38="","",COUNTIFS($A$5:$A$304,A38,$D$5:$D$304,"必須"))</f>
        <v/>
      </c>
    </row>
    <row r="39" ht="15" customHeight="1" s="36">
      <c r="A39" s="44" t="n"/>
      <c r="B39" s="52" t="n"/>
      <c r="C39" s="52" t="n"/>
      <c r="D39" s="52" t="n"/>
      <c r="E39" s="44" t="n"/>
      <c r="F39" s="56">
        <f>IF(A39="","",COUNTIFS($A$5:$A$304,A39,$D$5:$D$304,"必須"))</f>
        <v/>
      </c>
    </row>
    <row r="40" ht="15" customHeight="1" s="36">
      <c r="A40" s="44" t="n"/>
      <c r="B40" s="52" t="n"/>
      <c r="C40" s="52" t="n"/>
      <c r="D40" s="52" t="n"/>
      <c r="E40" s="44" t="n"/>
      <c r="F40" s="56">
        <f>IF(A40="","",COUNTIFS($A$5:$A$304,A40,$D$5:$D$304,"必須"))</f>
        <v/>
      </c>
    </row>
    <row r="41" ht="15" customHeight="1" s="36">
      <c r="A41" s="44" t="n"/>
      <c r="B41" s="52" t="n"/>
      <c r="C41" s="52" t="n"/>
      <c r="D41" s="52" t="n"/>
      <c r="E41" s="44" t="n"/>
      <c r="F41" s="56">
        <f>IF(A41="","",COUNTIFS($A$5:$A$304,A41,$D$5:$D$304,"必須"))</f>
        <v/>
      </c>
    </row>
    <row r="42" ht="15" customHeight="1" s="36">
      <c r="A42" s="44" t="n"/>
      <c r="B42" s="52" t="n"/>
      <c r="C42" s="52" t="n"/>
      <c r="D42" s="52" t="n"/>
      <c r="E42" s="44" t="n"/>
      <c r="F42" s="56">
        <f>IF(A42="","",COUNTIFS($A$5:$A$304,A42,$D$5:$D$304,"必須"))</f>
        <v/>
      </c>
    </row>
    <row r="43" ht="15" customHeight="1" s="36">
      <c r="A43" s="44" t="n"/>
      <c r="B43" s="52" t="n"/>
      <c r="C43" s="52" t="n"/>
      <c r="D43" s="52" t="n"/>
      <c r="E43" s="44" t="n"/>
      <c r="F43" s="56">
        <f>IF(A43="","",COUNTIFS($A$5:$A$304,A43,$D$5:$D$304,"必須"))</f>
        <v/>
      </c>
    </row>
    <row r="44" ht="15" customHeight="1" s="36">
      <c r="A44" s="44" t="n"/>
      <c r="B44" s="52" t="n"/>
      <c r="C44" s="52" t="n"/>
      <c r="D44" s="52" t="n"/>
      <c r="E44" s="44" t="n"/>
      <c r="F44" s="56">
        <f>IF(A44="","",COUNTIFS($A$5:$A$304,A44,$D$5:$D$304,"必須"))</f>
        <v/>
      </c>
    </row>
    <row r="45" ht="15" customHeight="1" s="36">
      <c r="A45" s="44" t="n"/>
      <c r="B45" s="52" t="n"/>
      <c r="C45" s="52" t="n"/>
      <c r="D45" s="52" t="n"/>
      <c r="E45" s="44" t="n"/>
      <c r="F45" s="56">
        <f>IF(A45="","",COUNTIFS($A$5:$A$304,A45,$D$5:$D$304,"必須"))</f>
        <v/>
      </c>
    </row>
    <row r="46" ht="15" customHeight="1" s="36">
      <c r="A46" s="44" t="n"/>
      <c r="B46" s="52" t="n"/>
      <c r="C46" s="52" t="n"/>
      <c r="D46" s="52" t="n"/>
      <c r="E46" s="44" t="n"/>
      <c r="F46" s="56">
        <f>IF(A46="","",COUNTIFS($A$5:$A$304,A46,$D$5:$D$304,"必須"))</f>
        <v/>
      </c>
    </row>
    <row r="47" ht="15" customHeight="1" s="36">
      <c r="A47" s="44" t="n"/>
      <c r="B47" s="52" t="n"/>
      <c r="C47" s="52" t="n"/>
      <c r="D47" s="52" t="n"/>
      <c r="E47" s="44" t="n"/>
      <c r="F47" s="56">
        <f>IF(A47="","",COUNTIFS($A$5:$A$304,A47,$D$5:$D$304,"必須"))</f>
        <v/>
      </c>
    </row>
    <row r="48" ht="15" customHeight="1" s="36">
      <c r="A48" s="44" t="n"/>
      <c r="B48" s="52" t="n"/>
      <c r="C48" s="52" t="n"/>
      <c r="D48" s="52" t="n"/>
      <c r="E48" s="44" t="n"/>
      <c r="F48" s="56">
        <f>IF(A48="","",COUNTIFS($A$5:$A$304,A48,$D$5:$D$304,"必須"))</f>
        <v/>
      </c>
    </row>
    <row r="49" ht="15" customHeight="1" s="36">
      <c r="A49" s="44" t="n"/>
      <c r="B49" s="52" t="n"/>
      <c r="C49" s="52" t="n"/>
      <c r="D49" s="52" t="n"/>
      <c r="E49" s="44" t="n"/>
      <c r="F49" s="56">
        <f>IF(A49="","",COUNTIFS($A$5:$A$304,A49,$D$5:$D$304,"必須"))</f>
        <v/>
      </c>
    </row>
    <row r="50" ht="15" customHeight="1" s="36">
      <c r="A50" s="44" t="n"/>
      <c r="B50" s="52" t="n"/>
      <c r="C50" s="52" t="n"/>
      <c r="D50" s="52" t="n"/>
      <c r="E50" s="44" t="n"/>
      <c r="F50" s="56">
        <f>IF(A50="","",COUNTIFS($A$5:$A$304,A50,$D$5:$D$304,"必須"))</f>
        <v/>
      </c>
    </row>
    <row r="51" ht="15" customHeight="1" s="36">
      <c r="A51" s="44" t="n"/>
      <c r="B51" s="52" t="n"/>
      <c r="C51" s="52" t="n"/>
      <c r="D51" s="52" t="n"/>
      <c r="E51" s="44" t="n"/>
      <c r="F51" s="56">
        <f>IF(A51="","",COUNTIFS($A$5:$A$304,A51,$D$5:$D$304,"必須"))</f>
        <v/>
      </c>
    </row>
    <row r="52" ht="15" customHeight="1" s="36">
      <c r="A52" s="44" t="n"/>
      <c r="B52" s="52" t="n"/>
      <c r="C52" s="52" t="n"/>
      <c r="D52" s="52" t="n"/>
      <c r="E52" s="44" t="n"/>
      <c r="F52" s="56">
        <f>IF(A52="","",COUNTIFS($A$5:$A$304,A52,$D$5:$D$304,"必須"))</f>
        <v/>
      </c>
    </row>
    <row r="53" ht="15" customHeight="1" s="36">
      <c r="A53" s="44" t="n"/>
      <c r="B53" s="52" t="n"/>
      <c r="C53" s="52" t="n"/>
      <c r="D53" s="52" t="n"/>
      <c r="E53" s="44" t="n"/>
      <c r="F53" s="56">
        <f>IF(A53="","",COUNTIFS($A$5:$A$304,A53,$D$5:$D$304,"必須"))</f>
        <v/>
      </c>
    </row>
    <row r="54" ht="15" customHeight="1" s="36">
      <c r="A54" s="44" t="n"/>
      <c r="B54" s="52" t="n"/>
      <c r="C54" s="52" t="n"/>
      <c r="D54" s="52" t="n"/>
      <c r="E54" s="44" t="n"/>
      <c r="F54" s="56">
        <f>IF(A54="","",COUNTIFS($A$5:$A$304,A54,$D$5:$D$304,"必須"))</f>
        <v/>
      </c>
    </row>
    <row r="55" ht="15" customHeight="1" s="36">
      <c r="A55" s="44" t="n"/>
      <c r="B55" s="52" t="n"/>
      <c r="C55" s="52" t="n"/>
      <c r="D55" s="52" t="n"/>
      <c r="E55" s="44" t="n"/>
      <c r="F55" s="56">
        <f>IF(A55="","",COUNTIFS($A$5:$A$304,A55,$D$5:$D$304,"必須"))</f>
        <v/>
      </c>
    </row>
    <row r="56" ht="15" customHeight="1" s="36">
      <c r="A56" s="44" t="n"/>
      <c r="B56" s="52" t="n"/>
      <c r="C56" s="52" t="n"/>
      <c r="D56" s="52" t="n"/>
      <c r="E56" s="44" t="n"/>
      <c r="F56" s="56">
        <f>IF(A56="","",COUNTIFS($A$5:$A$304,A56,$D$5:$D$304,"必須"))</f>
        <v/>
      </c>
    </row>
    <row r="57" ht="15" customHeight="1" s="36">
      <c r="A57" s="44" t="n"/>
      <c r="B57" s="52" t="n"/>
      <c r="C57" s="52" t="n"/>
      <c r="D57" s="52" t="n"/>
      <c r="E57" s="44" t="n"/>
      <c r="F57" s="56">
        <f>IF(A57="","",COUNTIFS($A$5:$A$304,A57,$D$5:$D$304,"必須"))</f>
        <v/>
      </c>
    </row>
    <row r="58" ht="15" customHeight="1" s="36">
      <c r="A58" s="44" t="n"/>
      <c r="B58" s="52" t="n"/>
      <c r="C58" s="52" t="n"/>
      <c r="D58" s="52" t="n"/>
      <c r="E58" s="44" t="n"/>
      <c r="F58" s="56">
        <f>IF(A58="","",COUNTIFS($A$5:$A$304,A58,$D$5:$D$304,"必須"))</f>
        <v/>
      </c>
    </row>
    <row r="59" ht="15" customHeight="1" s="36">
      <c r="A59" s="44" t="n"/>
      <c r="B59" s="52" t="n"/>
      <c r="C59" s="52" t="n"/>
      <c r="D59" s="52" t="n"/>
      <c r="E59" s="44" t="n"/>
      <c r="F59" s="56">
        <f>IF(A59="","",COUNTIFS($A$5:$A$304,A59,$D$5:$D$304,"必須"))</f>
        <v/>
      </c>
    </row>
    <row r="60" ht="15" customHeight="1" s="36">
      <c r="A60" s="44" t="n"/>
      <c r="B60" s="52" t="n"/>
      <c r="C60" s="52" t="n"/>
      <c r="D60" s="52" t="n"/>
      <c r="E60" s="44" t="n"/>
      <c r="F60" s="56">
        <f>IF(A60="","",COUNTIFS($A$5:$A$304,A60,$D$5:$D$304,"必須"))</f>
        <v/>
      </c>
    </row>
    <row r="61" ht="15" customHeight="1" s="36">
      <c r="A61" s="44" t="n"/>
      <c r="B61" s="52" t="n"/>
      <c r="C61" s="52" t="n"/>
      <c r="D61" s="52" t="n"/>
      <c r="E61" s="44" t="n"/>
      <c r="F61" s="56">
        <f>IF(A61="","",COUNTIFS($A$5:$A$304,A61,$D$5:$D$304,"必須"))</f>
        <v/>
      </c>
    </row>
    <row r="62" ht="15" customHeight="1" s="36">
      <c r="A62" s="44" t="n"/>
      <c r="B62" s="52" t="n"/>
      <c r="C62" s="52" t="n"/>
      <c r="D62" s="52" t="n"/>
      <c r="E62" s="44" t="n"/>
      <c r="F62" s="56">
        <f>IF(A62="","",COUNTIFS($A$5:$A$304,A62,$D$5:$D$304,"必須"))</f>
        <v/>
      </c>
    </row>
    <row r="63" ht="15" customHeight="1" s="36">
      <c r="A63" s="44" t="n"/>
      <c r="B63" s="52" t="n"/>
      <c r="C63" s="52" t="n"/>
      <c r="D63" s="52" t="n"/>
      <c r="E63" s="44" t="n"/>
      <c r="F63" s="56">
        <f>IF(A63="","",COUNTIFS($A$5:$A$304,A63,$D$5:$D$304,"必須"))</f>
        <v/>
      </c>
    </row>
    <row r="64" ht="15" customHeight="1" s="36">
      <c r="A64" s="44" t="n"/>
      <c r="B64" s="52" t="n"/>
      <c r="C64" s="52" t="n"/>
      <c r="D64" s="52" t="n"/>
      <c r="E64" s="44" t="n"/>
      <c r="F64" s="56">
        <f>IF(A64="","",COUNTIFS($A$5:$A$304,A64,$D$5:$D$304,"必須"))</f>
        <v/>
      </c>
    </row>
    <row r="65" ht="15" customHeight="1" s="36">
      <c r="A65" s="44" t="n"/>
      <c r="B65" s="52" t="n"/>
      <c r="C65" s="52" t="n"/>
      <c r="D65" s="52" t="n"/>
      <c r="E65" s="44" t="n"/>
      <c r="F65" s="56">
        <f>IF(A65="","",COUNTIFS($A$5:$A$304,A65,$D$5:$D$304,"必須"))</f>
        <v/>
      </c>
    </row>
    <row r="66" ht="15" customHeight="1" s="36">
      <c r="A66" s="44" t="n"/>
      <c r="B66" s="52" t="n"/>
      <c r="C66" s="52" t="n"/>
      <c r="D66" s="52" t="n"/>
      <c r="E66" s="44" t="n"/>
      <c r="F66" s="56">
        <f>IF(A66="","",COUNTIFS($A$5:$A$304,A66,$D$5:$D$304,"必須"))</f>
        <v/>
      </c>
    </row>
    <row r="67" ht="15" customHeight="1" s="36">
      <c r="A67" s="44" t="n"/>
      <c r="B67" s="52" t="n"/>
      <c r="C67" s="52" t="n"/>
      <c r="D67" s="52" t="n"/>
      <c r="E67" s="44" t="n"/>
      <c r="F67" s="56">
        <f>IF(A67="","",COUNTIFS($A$5:$A$304,A67,$D$5:$D$304,"必須"))</f>
        <v/>
      </c>
    </row>
    <row r="68" ht="15" customHeight="1" s="36">
      <c r="A68" s="44" t="n"/>
      <c r="B68" s="52" t="n"/>
      <c r="C68" s="52" t="n"/>
      <c r="D68" s="52" t="n"/>
      <c r="E68" s="44" t="n"/>
      <c r="F68" s="56">
        <f>IF(A68="","",COUNTIFS($A$5:$A$304,A68,$D$5:$D$304,"必須"))</f>
        <v/>
      </c>
    </row>
    <row r="69" ht="15" customHeight="1" s="36">
      <c r="A69" s="44" t="n"/>
      <c r="B69" s="52" t="n"/>
      <c r="C69" s="52" t="n"/>
      <c r="D69" s="52" t="n"/>
      <c r="E69" s="44" t="n"/>
      <c r="F69" s="56">
        <f>IF(A69="","",COUNTIFS($A$5:$A$304,A69,$D$5:$D$304,"必須"))</f>
        <v/>
      </c>
    </row>
    <row r="70" ht="15" customHeight="1" s="36">
      <c r="A70" s="44" t="n"/>
      <c r="B70" s="52" t="n"/>
      <c r="C70" s="52" t="n"/>
      <c r="D70" s="52" t="n"/>
      <c r="E70" s="44" t="n"/>
      <c r="F70" s="56">
        <f>IF(A70="","",COUNTIFS($A$5:$A$304,A70,$D$5:$D$304,"必須"))</f>
        <v/>
      </c>
    </row>
    <row r="71" ht="15" customHeight="1" s="36">
      <c r="A71" s="44" t="n"/>
      <c r="B71" s="52" t="n"/>
      <c r="C71" s="52" t="n"/>
      <c r="D71" s="52" t="n"/>
      <c r="E71" s="44" t="n"/>
      <c r="F71" s="56">
        <f>IF(A71="","",COUNTIFS($A$5:$A$304,A71,$D$5:$D$304,"必須"))</f>
        <v/>
      </c>
    </row>
    <row r="72" ht="15" customHeight="1" s="36">
      <c r="A72" s="44" t="n"/>
      <c r="B72" s="52" t="n"/>
      <c r="C72" s="52" t="n"/>
      <c r="D72" s="52" t="n"/>
      <c r="E72" s="44" t="n"/>
      <c r="F72" s="56">
        <f>IF(A72="","",COUNTIFS($A$5:$A$304,A72,$D$5:$D$304,"必須"))</f>
        <v/>
      </c>
    </row>
    <row r="73" ht="15" customHeight="1" s="36">
      <c r="A73" s="44" t="n"/>
      <c r="B73" s="52" t="n"/>
      <c r="C73" s="52" t="n"/>
      <c r="D73" s="52" t="n"/>
      <c r="E73" s="44" t="n"/>
      <c r="F73" s="56">
        <f>IF(A73="","",COUNTIFS($A$5:$A$304,A73,$D$5:$D$304,"必須"))</f>
        <v/>
      </c>
    </row>
    <row r="74" ht="15" customHeight="1" s="36">
      <c r="A74" s="44" t="n"/>
      <c r="B74" s="52" t="n"/>
      <c r="C74" s="52" t="n"/>
      <c r="D74" s="52" t="n"/>
      <c r="E74" s="44" t="n"/>
      <c r="F74" s="56">
        <f>IF(A74="","",COUNTIFS($A$5:$A$304,A74,$D$5:$D$304,"必須"))</f>
        <v/>
      </c>
    </row>
    <row r="75" ht="15" customHeight="1" s="36">
      <c r="A75" s="44" t="n"/>
      <c r="B75" s="52" t="n"/>
      <c r="C75" s="52" t="n"/>
      <c r="D75" s="52" t="n"/>
      <c r="E75" s="44" t="n"/>
      <c r="F75" s="56">
        <f>IF(A75="","",COUNTIFS($A$5:$A$304,A75,$D$5:$D$304,"必須"))</f>
        <v/>
      </c>
    </row>
    <row r="76" ht="15" customHeight="1" s="36">
      <c r="A76" s="44" t="n"/>
      <c r="B76" s="52" t="n"/>
      <c r="C76" s="52" t="n"/>
      <c r="D76" s="52" t="n"/>
      <c r="E76" s="44" t="n"/>
      <c r="F76" s="56">
        <f>IF(A76="","",COUNTIFS($A$5:$A$304,A76,$D$5:$D$304,"必須"))</f>
        <v/>
      </c>
    </row>
    <row r="77" ht="15" customHeight="1" s="36">
      <c r="A77" s="44" t="n"/>
      <c r="B77" s="52" t="n"/>
      <c r="C77" s="52" t="n"/>
      <c r="D77" s="52" t="n"/>
      <c r="E77" s="44" t="n"/>
      <c r="F77" s="56">
        <f>IF(A77="","",COUNTIFS($A$5:$A$304,A77,$D$5:$D$304,"必須"))</f>
        <v/>
      </c>
    </row>
    <row r="78" ht="15" customHeight="1" s="36">
      <c r="A78" s="44" t="n"/>
      <c r="B78" s="52" t="n"/>
      <c r="C78" s="52" t="n"/>
      <c r="D78" s="52" t="n"/>
      <c r="E78" s="44" t="n"/>
      <c r="F78" s="56">
        <f>IF(A78="","",COUNTIFS($A$5:$A$304,A78,$D$5:$D$304,"必須"))</f>
        <v/>
      </c>
    </row>
    <row r="79" ht="15" customHeight="1" s="36">
      <c r="A79" s="44" t="n"/>
      <c r="B79" s="52" t="n"/>
      <c r="C79" s="52" t="n"/>
      <c r="D79" s="52" t="n"/>
      <c r="E79" s="44" t="n"/>
      <c r="F79" s="56">
        <f>IF(A79="","",COUNTIFS($A$5:$A$304,A79,$D$5:$D$304,"必須"))</f>
        <v/>
      </c>
    </row>
    <row r="80" ht="15" customHeight="1" s="36">
      <c r="A80" s="44" t="n"/>
      <c r="B80" s="52" t="n"/>
      <c r="C80" s="52" t="n"/>
      <c r="D80" s="52" t="n"/>
      <c r="E80" s="44" t="n"/>
      <c r="F80" s="56">
        <f>IF(A80="","",COUNTIFS($A$5:$A$304,A80,$D$5:$D$304,"必須"))</f>
        <v/>
      </c>
    </row>
    <row r="81" ht="15" customHeight="1" s="36">
      <c r="A81" s="44" t="n"/>
      <c r="B81" s="52" t="n"/>
      <c r="C81" s="52" t="n"/>
      <c r="D81" s="52" t="n"/>
      <c r="E81" s="44" t="n"/>
      <c r="F81" s="56">
        <f>IF(A81="","",COUNTIFS($A$5:$A$304,A81,$D$5:$D$304,"必須"))</f>
        <v/>
      </c>
    </row>
    <row r="82" ht="15" customHeight="1" s="36">
      <c r="A82" s="44" t="n"/>
      <c r="B82" s="52" t="n"/>
      <c r="C82" s="52" t="n"/>
      <c r="D82" s="52" t="n"/>
      <c r="E82" s="44" t="n"/>
      <c r="F82" s="56">
        <f>IF(A82="","",COUNTIFS($A$5:$A$304,A82,$D$5:$D$304,"必須"))</f>
        <v/>
      </c>
    </row>
    <row r="83" ht="15" customHeight="1" s="36">
      <c r="A83" s="44" t="n"/>
      <c r="B83" s="52" t="n"/>
      <c r="C83" s="52" t="n"/>
      <c r="D83" s="52" t="n"/>
      <c r="E83" s="44" t="n"/>
      <c r="F83" s="56">
        <f>IF(A83="","",COUNTIFS($A$5:$A$304,A83,$D$5:$D$304,"必須"))</f>
        <v/>
      </c>
    </row>
    <row r="84" ht="15" customHeight="1" s="36">
      <c r="A84" s="44" t="n"/>
      <c r="B84" s="52" t="n"/>
      <c r="C84" s="52" t="n"/>
      <c r="D84" s="52" t="n"/>
      <c r="E84" s="44" t="n"/>
      <c r="F84" s="56">
        <f>IF(A84="","",COUNTIFS($A$5:$A$304,A84,$D$5:$D$304,"必須"))</f>
        <v/>
      </c>
    </row>
    <row r="85" ht="15" customHeight="1" s="36">
      <c r="A85" s="44" t="n"/>
      <c r="B85" s="52" t="n"/>
      <c r="C85" s="52" t="n"/>
      <c r="D85" s="52" t="n"/>
      <c r="E85" s="44" t="n"/>
      <c r="F85" s="56">
        <f>IF(A85="","",COUNTIFS($A$5:$A$304,A85,$D$5:$D$304,"必須"))</f>
        <v/>
      </c>
    </row>
    <row r="86" ht="15" customHeight="1" s="36">
      <c r="A86" s="44" t="n"/>
      <c r="B86" s="52" t="n"/>
      <c r="C86" s="52" t="n"/>
      <c r="D86" s="52" t="n"/>
      <c r="E86" s="44" t="n"/>
      <c r="F86" s="56">
        <f>IF(A86="","",COUNTIFS($A$5:$A$304,A86,$D$5:$D$304,"必須"))</f>
        <v/>
      </c>
    </row>
    <row r="87" ht="15" customHeight="1" s="36">
      <c r="A87" s="44" t="n"/>
      <c r="B87" s="52" t="n"/>
      <c r="C87" s="52" t="n"/>
      <c r="D87" s="52" t="n"/>
      <c r="E87" s="44" t="n"/>
      <c r="F87" s="56">
        <f>IF(A87="","",COUNTIFS($A$5:$A$304,A87,$D$5:$D$304,"必須"))</f>
        <v/>
      </c>
    </row>
    <row r="88" ht="15" customHeight="1" s="36">
      <c r="A88" s="44" t="n"/>
      <c r="B88" s="52" t="n"/>
      <c r="C88" s="52" t="n"/>
      <c r="D88" s="52" t="n"/>
      <c r="E88" s="44" t="n"/>
      <c r="F88" s="56">
        <f>IF(A88="","",COUNTIFS($A$5:$A$304,A88,$D$5:$D$304,"必須"))</f>
        <v/>
      </c>
    </row>
    <row r="89" ht="15" customHeight="1" s="36">
      <c r="A89" s="44" t="n"/>
      <c r="B89" s="52" t="n"/>
      <c r="C89" s="52" t="n"/>
      <c r="D89" s="52" t="n"/>
      <c r="E89" s="44" t="n"/>
      <c r="F89" s="56">
        <f>IF(A89="","",COUNTIFS($A$5:$A$304,A89,$D$5:$D$304,"必須"))</f>
        <v/>
      </c>
    </row>
    <row r="90" ht="15" customHeight="1" s="36">
      <c r="A90" s="44" t="n"/>
      <c r="B90" s="52" t="n"/>
      <c r="C90" s="52" t="n"/>
      <c r="D90" s="52" t="n"/>
      <c r="E90" s="44" t="n"/>
      <c r="F90" s="56">
        <f>IF(A90="","",COUNTIFS($A$5:$A$304,A90,$D$5:$D$304,"必須"))</f>
        <v/>
      </c>
    </row>
    <row r="91" ht="15" customHeight="1" s="36">
      <c r="A91" s="44" t="n"/>
      <c r="B91" s="52" t="n"/>
      <c r="C91" s="52" t="n"/>
      <c r="D91" s="52" t="n"/>
      <c r="E91" s="44" t="n"/>
      <c r="F91" s="56">
        <f>IF(A91="","",COUNTIFS($A$5:$A$304,A91,$D$5:$D$304,"必須"))</f>
        <v/>
      </c>
    </row>
    <row r="92" ht="15" customHeight="1" s="36">
      <c r="A92" s="44" t="n"/>
      <c r="B92" s="52" t="n"/>
      <c r="C92" s="52" t="n"/>
      <c r="D92" s="52" t="n"/>
      <c r="E92" s="44" t="n"/>
      <c r="F92" s="56">
        <f>IF(A92="","",COUNTIFS($A$5:$A$304,A92,$D$5:$D$304,"必須"))</f>
        <v/>
      </c>
    </row>
    <row r="93" ht="15" customHeight="1" s="36">
      <c r="A93" s="44" t="n"/>
      <c r="B93" s="52" t="n"/>
      <c r="C93" s="52" t="n"/>
      <c r="D93" s="52" t="n"/>
      <c r="E93" s="44" t="n"/>
      <c r="F93" s="56">
        <f>IF(A93="","",COUNTIFS($A$5:$A$304,A93,$D$5:$D$304,"必須"))</f>
        <v/>
      </c>
    </row>
    <row r="94" ht="15" customHeight="1" s="36">
      <c r="A94" s="44" t="n"/>
      <c r="B94" s="52" t="n"/>
      <c r="C94" s="52" t="n"/>
      <c r="D94" s="52" t="n"/>
      <c r="E94" s="44" t="n"/>
      <c r="F94" s="56">
        <f>IF(A94="","",COUNTIFS($A$5:$A$304,A94,$D$5:$D$304,"必須"))</f>
        <v/>
      </c>
    </row>
    <row r="95" ht="15" customHeight="1" s="36">
      <c r="A95" s="44" t="n"/>
      <c r="B95" s="52" t="n"/>
      <c r="C95" s="52" t="n"/>
      <c r="D95" s="52" t="n"/>
      <c r="E95" s="44" t="n"/>
      <c r="F95" s="56">
        <f>IF(A95="","",COUNTIFS($A$5:$A$304,A95,$D$5:$D$304,"必須"))</f>
        <v/>
      </c>
    </row>
    <row r="96" ht="15" customHeight="1" s="36">
      <c r="A96" s="44" t="n"/>
      <c r="B96" s="52" t="n"/>
      <c r="C96" s="52" t="n"/>
      <c r="D96" s="52" t="n"/>
      <c r="E96" s="44" t="n"/>
      <c r="F96" s="56">
        <f>IF(A96="","",COUNTIFS($A$5:$A$304,A96,$D$5:$D$304,"必須"))</f>
        <v/>
      </c>
    </row>
    <row r="97" ht="15" customHeight="1" s="36">
      <c r="A97" s="44" t="n"/>
      <c r="B97" s="52" t="n"/>
      <c r="C97" s="52" t="n"/>
      <c r="D97" s="52" t="n"/>
      <c r="E97" s="44" t="n"/>
      <c r="F97" s="56">
        <f>IF(A97="","",COUNTIFS($A$5:$A$304,A97,$D$5:$D$304,"必須"))</f>
        <v/>
      </c>
    </row>
    <row r="98" ht="15" customHeight="1" s="36">
      <c r="A98" s="44" t="n"/>
      <c r="B98" s="52" t="n"/>
      <c r="C98" s="52" t="n"/>
      <c r="D98" s="52" t="n"/>
      <c r="E98" s="44" t="n"/>
      <c r="F98" s="56">
        <f>IF(A98="","",COUNTIFS($A$5:$A$304,A98,$D$5:$D$304,"必須"))</f>
        <v/>
      </c>
    </row>
    <row r="99" ht="15" customHeight="1" s="36">
      <c r="A99" s="44" t="n"/>
      <c r="B99" s="52" t="n"/>
      <c r="C99" s="52" t="n"/>
      <c r="D99" s="52" t="n"/>
      <c r="E99" s="44" t="n"/>
      <c r="F99" s="56">
        <f>IF(A99="","",COUNTIFS($A$5:$A$304,A99,$D$5:$D$304,"必須"))</f>
        <v/>
      </c>
    </row>
    <row r="100" ht="15" customHeight="1" s="36">
      <c r="A100" s="44" t="n"/>
      <c r="B100" s="52" t="n"/>
      <c r="C100" s="52" t="n"/>
      <c r="D100" s="52" t="n"/>
      <c r="E100" s="44" t="n"/>
      <c r="F100" s="56">
        <f>IF(A100="","",COUNTIFS($A$5:$A$304,A100,$D$5:$D$304,"必須"))</f>
        <v/>
      </c>
    </row>
    <row r="101" ht="15" customHeight="1" s="36">
      <c r="A101" s="44" t="n"/>
      <c r="B101" s="52" t="n"/>
      <c r="C101" s="52" t="n"/>
      <c r="D101" s="52" t="n"/>
      <c r="E101" s="44" t="n"/>
      <c r="F101" s="56">
        <f>IF(A101="","",COUNTIFS($A$5:$A$304,A101,$D$5:$D$304,"必須"))</f>
        <v/>
      </c>
    </row>
    <row r="102" ht="15" customHeight="1" s="36">
      <c r="A102" s="44" t="n"/>
      <c r="B102" s="52" t="n"/>
      <c r="C102" s="52" t="n"/>
      <c r="D102" s="52" t="n"/>
      <c r="E102" s="44" t="n"/>
      <c r="F102" s="56">
        <f>IF(A102="","",COUNTIFS($A$5:$A$304,A102,$D$5:$D$304,"必須"))</f>
        <v/>
      </c>
    </row>
    <row r="103" ht="15" customHeight="1" s="36">
      <c r="A103" s="44" t="n"/>
      <c r="B103" s="52" t="n"/>
      <c r="C103" s="52" t="n"/>
      <c r="D103" s="52" t="n"/>
      <c r="E103" s="44" t="n"/>
      <c r="F103" s="56">
        <f>IF(A103="","",COUNTIFS($A$5:$A$304,A103,$D$5:$D$304,"必須"))</f>
        <v/>
      </c>
    </row>
    <row r="104" ht="15" customHeight="1" s="36">
      <c r="A104" s="44" t="n"/>
      <c r="B104" s="52" t="n"/>
      <c r="C104" s="52" t="n"/>
      <c r="D104" s="52" t="n"/>
      <c r="E104" s="44" t="n"/>
      <c r="F104" s="56">
        <f>IF(A104="","",COUNTIFS($A$5:$A$304,A104,$D$5:$D$304,"必須"))</f>
        <v/>
      </c>
    </row>
    <row r="105" ht="15" customHeight="1" s="36">
      <c r="A105" s="44" t="n"/>
      <c r="B105" s="52" t="n"/>
      <c r="C105" s="52" t="n"/>
      <c r="D105" s="52" t="n"/>
      <c r="E105" s="44" t="n"/>
      <c r="F105" s="56">
        <f>IF(A105="","",COUNTIFS($A$5:$A$304,A105,$D$5:$D$304,"必須"))</f>
        <v/>
      </c>
    </row>
    <row r="106" ht="15" customHeight="1" s="36">
      <c r="A106" s="44" t="n"/>
      <c r="B106" s="52" t="n"/>
      <c r="C106" s="52" t="n"/>
      <c r="D106" s="52" t="n"/>
      <c r="E106" s="44" t="n"/>
      <c r="F106" s="56">
        <f>IF(A106="","",COUNTIFS($A$5:$A$304,A106,$D$5:$D$304,"必須"))</f>
        <v/>
      </c>
    </row>
    <row r="107" ht="15" customHeight="1" s="36">
      <c r="A107" s="44" t="n"/>
      <c r="B107" s="52" t="n"/>
      <c r="C107" s="52" t="n"/>
      <c r="D107" s="52" t="n"/>
      <c r="E107" s="44" t="n"/>
      <c r="F107" s="56">
        <f>IF(A107="","",COUNTIFS($A$5:$A$304,A107,$D$5:$D$304,"必須"))</f>
        <v/>
      </c>
    </row>
    <row r="108" ht="15" customHeight="1" s="36">
      <c r="A108" s="44" t="n"/>
      <c r="B108" s="52" t="n"/>
      <c r="C108" s="52" t="n"/>
      <c r="D108" s="52" t="n"/>
      <c r="E108" s="44" t="n"/>
      <c r="F108" s="56">
        <f>IF(A108="","",COUNTIFS($A$5:$A$304,A108,$D$5:$D$304,"必須"))</f>
        <v/>
      </c>
    </row>
    <row r="109" ht="15" customHeight="1" s="36">
      <c r="A109" s="44" t="n"/>
      <c r="B109" s="52" t="n"/>
      <c r="C109" s="52" t="n"/>
      <c r="D109" s="52" t="n"/>
      <c r="E109" s="44" t="n"/>
      <c r="F109" s="56">
        <f>IF(A109="","",COUNTIFS($A$5:$A$304,A109,$D$5:$D$304,"必須"))</f>
        <v/>
      </c>
    </row>
    <row r="110" ht="15" customHeight="1" s="36">
      <c r="A110" s="44" t="n"/>
      <c r="B110" s="52" t="n"/>
      <c r="C110" s="52" t="n"/>
      <c r="D110" s="52" t="n"/>
      <c r="E110" s="44" t="n"/>
      <c r="F110" s="56">
        <f>IF(A110="","",COUNTIFS($A$5:$A$304,A110,$D$5:$D$304,"必須"))</f>
        <v/>
      </c>
    </row>
    <row r="111" ht="15" customHeight="1" s="36">
      <c r="A111" s="44" t="n"/>
      <c r="B111" s="52" t="n"/>
      <c r="C111" s="52" t="n"/>
      <c r="D111" s="52" t="n"/>
      <c r="E111" s="44" t="n"/>
      <c r="F111" s="56">
        <f>IF(A111="","",COUNTIFS($A$5:$A$304,A111,$D$5:$D$304,"必須"))</f>
        <v/>
      </c>
    </row>
    <row r="112" ht="15" customHeight="1" s="36">
      <c r="A112" s="44" t="n"/>
      <c r="B112" s="52" t="n"/>
      <c r="C112" s="52" t="n"/>
      <c r="D112" s="52" t="n"/>
      <c r="E112" s="44" t="n"/>
      <c r="F112" s="56">
        <f>IF(A112="","",COUNTIFS($A$5:$A$304,A112,$D$5:$D$304,"必須"))</f>
        <v/>
      </c>
    </row>
    <row r="113" ht="15" customHeight="1" s="36">
      <c r="A113" s="44" t="n"/>
      <c r="B113" s="52" t="n"/>
      <c r="C113" s="52" t="n"/>
      <c r="D113" s="52" t="n"/>
      <c r="E113" s="44" t="n"/>
      <c r="F113" s="56">
        <f>IF(A113="","",COUNTIFS($A$5:$A$304,A113,$D$5:$D$304,"必須"))</f>
        <v/>
      </c>
    </row>
    <row r="114" ht="15" customHeight="1" s="36">
      <c r="A114" s="44" t="n"/>
      <c r="B114" s="52" t="n"/>
      <c r="C114" s="52" t="n"/>
      <c r="D114" s="52" t="n"/>
      <c r="E114" s="44" t="n"/>
      <c r="F114" s="56">
        <f>IF(A114="","",COUNTIFS($A$5:$A$304,A114,$D$5:$D$304,"必須"))</f>
        <v/>
      </c>
    </row>
    <row r="115" ht="15" customHeight="1" s="36">
      <c r="A115" s="44" t="n"/>
      <c r="B115" s="52" t="n"/>
      <c r="C115" s="52" t="n"/>
      <c r="D115" s="52" t="n"/>
      <c r="E115" s="44" t="n"/>
      <c r="F115" s="56">
        <f>IF(A115="","",COUNTIFS($A$5:$A$304,A115,$D$5:$D$304,"必須"))</f>
        <v/>
      </c>
    </row>
    <row r="116" ht="15" customHeight="1" s="36">
      <c r="A116" s="44" t="n"/>
      <c r="B116" s="52" t="n"/>
      <c r="C116" s="52" t="n"/>
      <c r="D116" s="52" t="n"/>
      <c r="E116" s="44" t="n"/>
      <c r="F116" s="56">
        <f>IF(A116="","",COUNTIFS($A$5:$A$304,A116,$D$5:$D$304,"必須"))</f>
        <v/>
      </c>
    </row>
    <row r="117" ht="15" customHeight="1" s="36">
      <c r="A117" s="44" t="n"/>
      <c r="B117" s="52" t="n"/>
      <c r="C117" s="52" t="n"/>
      <c r="D117" s="52" t="n"/>
      <c r="E117" s="44" t="n"/>
      <c r="F117" s="56">
        <f>IF(A117="","",COUNTIFS($A$5:$A$304,A117,$D$5:$D$304,"必須"))</f>
        <v/>
      </c>
    </row>
    <row r="118" ht="15" customHeight="1" s="36">
      <c r="A118" s="44" t="n"/>
      <c r="B118" s="52" t="n"/>
      <c r="C118" s="52" t="n"/>
      <c r="D118" s="52" t="n"/>
      <c r="E118" s="44" t="n"/>
      <c r="F118" s="56">
        <f>IF(A118="","",COUNTIFS($A$5:$A$304,A118,$D$5:$D$304,"必須"))</f>
        <v/>
      </c>
    </row>
    <row r="119" ht="15" customHeight="1" s="36">
      <c r="A119" s="44" t="n"/>
      <c r="B119" s="52" t="n"/>
      <c r="C119" s="52" t="n"/>
      <c r="D119" s="52" t="n"/>
      <c r="E119" s="44" t="n"/>
      <c r="F119" s="56">
        <f>IF(A119="","",COUNTIFS($A$5:$A$304,A119,$D$5:$D$304,"必須"))</f>
        <v/>
      </c>
    </row>
    <row r="120" ht="15" customHeight="1" s="36">
      <c r="A120" s="44" t="n"/>
      <c r="B120" s="52" t="n"/>
      <c r="C120" s="52" t="n"/>
      <c r="D120" s="52" t="n"/>
      <c r="E120" s="44" t="n"/>
      <c r="F120" s="56">
        <f>IF(A120="","",COUNTIFS($A$5:$A$304,A120,$D$5:$D$304,"必須"))</f>
        <v/>
      </c>
    </row>
    <row r="121" ht="15" customHeight="1" s="36">
      <c r="A121" s="44" t="n"/>
      <c r="B121" s="52" t="n"/>
      <c r="C121" s="52" t="n"/>
      <c r="D121" s="52" t="n"/>
      <c r="E121" s="44" t="n"/>
      <c r="F121" s="56">
        <f>IF(A121="","",COUNTIFS($A$5:$A$304,A121,$D$5:$D$304,"必須"))</f>
        <v/>
      </c>
    </row>
    <row r="122" ht="15" customHeight="1" s="36">
      <c r="A122" s="44" t="n"/>
      <c r="B122" s="52" t="n"/>
      <c r="C122" s="52" t="n"/>
      <c r="D122" s="52" t="n"/>
      <c r="E122" s="44" t="n"/>
      <c r="F122" s="56">
        <f>IF(A122="","",COUNTIFS($A$5:$A$304,A122,$D$5:$D$304,"必須"))</f>
        <v/>
      </c>
    </row>
    <row r="123" ht="15" customHeight="1" s="36">
      <c r="A123" s="44" t="n"/>
      <c r="B123" s="52" t="n"/>
      <c r="C123" s="52" t="n"/>
      <c r="D123" s="52" t="n"/>
      <c r="E123" s="44" t="n"/>
      <c r="F123" s="56">
        <f>IF(A123="","",COUNTIFS($A$5:$A$304,A123,$D$5:$D$304,"必須"))</f>
        <v/>
      </c>
    </row>
    <row r="124" ht="15" customHeight="1" s="36">
      <c r="A124" s="44" t="n"/>
      <c r="B124" s="52" t="n"/>
      <c r="C124" s="52" t="n"/>
      <c r="D124" s="52" t="n"/>
      <c r="E124" s="44" t="n"/>
      <c r="F124" s="56">
        <f>IF(A124="","",COUNTIFS($A$5:$A$304,A124,$D$5:$D$304,"必須"))</f>
        <v/>
      </c>
    </row>
    <row r="125" ht="15" customHeight="1" s="36">
      <c r="A125" s="44" t="n"/>
      <c r="B125" s="52" t="n"/>
      <c r="C125" s="52" t="n"/>
      <c r="D125" s="52" t="n"/>
      <c r="E125" s="44" t="n"/>
      <c r="F125" s="56">
        <f>IF(A125="","",COUNTIFS($A$5:$A$304,A125,$D$5:$D$304,"必須"))</f>
        <v/>
      </c>
    </row>
    <row r="126" ht="15" customHeight="1" s="36">
      <c r="A126" s="44" t="n"/>
      <c r="B126" s="52" t="n"/>
      <c r="C126" s="52" t="n"/>
      <c r="D126" s="52" t="n"/>
      <c r="E126" s="44" t="n"/>
      <c r="F126" s="56">
        <f>IF(A126="","",COUNTIFS($A$5:$A$304,A126,$D$5:$D$304,"必須"))</f>
        <v/>
      </c>
    </row>
    <row r="127" ht="15" customHeight="1" s="36">
      <c r="A127" s="44" t="n"/>
      <c r="B127" s="52" t="n"/>
      <c r="C127" s="52" t="n"/>
      <c r="D127" s="52" t="n"/>
      <c r="E127" s="44" t="n"/>
      <c r="F127" s="56">
        <f>IF(A127="","",COUNTIFS($A$5:$A$304,A127,$D$5:$D$304,"必須"))</f>
        <v/>
      </c>
    </row>
    <row r="128" ht="15" customHeight="1" s="36">
      <c r="A128" s="44" t="n"/>
      <c r="B128" s="52" t="n"/>
      <c r="C128" s="52" t="n"/>
      <c r="D128" s="52" t="n"/>
      <c r="E128" s="44" t="n"/>
      <c r="F128" s="56">
        <f>IF(A128="","",COUNTIFS($A$5:$A$304,A128,$D$5:$D$304,"必須"))</f>
        <v/>
      </c>
    </row>
    <row r="129" ht="15" customHeight="1" s="36">
      <c r="A129" s="44" t="n"/>
      <c r="B129" s="52" t="n"/>
      <c r="C129" s="52" t="n"/>
      <c r="D129" s="52" t="n"/>
      <c r="E129" s="44" t="n"/>
      <c r="F129" s="56">
        <f>IF(A129="","",COUNTIFS($A$5:$A$304,A129,$D$5:$D$304,"必須"))</f>
        <v/>
      </c>
    </row>
    <row r="130" ht="15" customHeight="1" s="36">
      <c r="A130" s="44" t="n"/>
      <c r="B130" s="52" t="n"/>
      <c r="C130" s="52" t="n"/>
      <c r="D130" s="52" t="n"/>
      <c r="E130" s="44" t="n"/>
      <c r="F130" s="56">
        <f>IF(A130="","",COUNTIFS($A$5:$A$304,A130,$D$5:$D$304,"必須"))</f>
        <v/>
      </c>
    </row>
    <row r="131" ht="15" customHeight="1" s="36">
      <c r="A131" s="44" t="n"/>
      <c r="B131" s="52" t="n"/>
      <c r="C131" s="52" t="n"/>
      <c r="D131" s="52" t="n"/>
      <c r="E131" s="44" t="n"/>
      <c r="F131" s="56">
        <f>IF(A131="","",COUNTIFS($A$5:$A$304,A131,$D$5:$D$304,"必須"))</f>
        <v/>
      </c>
    </row>
    <row r="132" ht="15" customHeight="1" s="36">
      <c r="A132" s="44" t="n"/>
      <c r="B132" s="52" t="n"/>
      <c r="C132" s="52" t="n"/>
      <c r="D132" s="52" t="n"/>
      <c r="E132" s="44" t="n"/>
      <c r="F132" s="56">
        <f>IF(A132="","",COUNTIFS($A$5:$A$304,A132,$D$5:$D$304,"必須"))</f>
        <v/>
      </c>
    </row>
    <row r="133" ht="15" customHeight="1" s="36">
      <c r="A133" s="44" t="n"/>
      <c r="B133" s="52" t="n"/>
      <c r="C133" s="52" t="n"/>
      <c r="D133" s="52" t="n"/>
      <c r="E133" s="44" t="n"/>
      <c r="F133" s="56">
        <f>IF(A133="","",COUNTIFS($A$5:$A$304,A133,$D$5:$D$304,"必須"))</f>
        <v/>
      </c>
    </row>
    <row r="134" ht="15" customHeight="1" s="36">
      <c r="A134" s="44" t="n"/>
      <c r="B134" s="52" t="n"/>
      <c r="C134" s="52" t="n"/>
      <c r="D134" s="52" t="n"/>
      <c r="E134" s="44" t="n"/>
      <c r="F134" s="56">
        <f>IF(A134="","",COUNTIFS($A$5:$A$304,A134,$D$5:$D$304,"必須"))</f>
        <v/>
      </c>
    </row>
    <row r="135" ht="15" customHeight="1" s="36">
      <c r="A135" s="44" t="n"/>
      <c r="B135" s="52" t="n"/>
      <c r="C135" s="52" t="n"/>
      <c r="D135" s="52" t="n"/>
      <c r="E135" s="44" t="n"/>
      <c r="F135" s="56">
        <f>IF(A135="","",COUNTIFS($A$5:$A$304,A135,$D$5:$D$304,"必須"))</f>
        <v/>
      </c>
    </row>
    <row r="136" ht="15" customHeight="1" s="36">
      <c r="A136" s="44" t="n"/>
      <c r="B136" s="52" t="n"/>
      <c r="C136" s="52" t="n"/>
      <c r="D136" s="52" t="n"/>
      <c r="E136" s="44" t="n"/>
      <c r="F136" s="56">
        <f>IF(A136="","",COUNTIFS($A$5:$A$304,A136,$D$5:$D$304,"必須"))</f>
        <v/>
      </c>
    </row>
    <row r="137" ht="15" customHeight="1" s="36">
      <c r="A137" s="44" t="n"/>
      <c r="B137" s="52" t="n"/>
      <c r="C137" s="52" t="n"/>
      <c r="D137" s="52" t="n"/>
      <c r="E137" s="44" t="n"/>
      <c r="F137" s="56">
        <f>IF(A137="","",COUNTIFS($A$5:$A$304,A137,$D$5:$D$304,"必須"))</f>
        <v/>
      </c>
    </row>
    <row r="138" ht="15" customHeight="1" s="36">
      <c r="A138" s="44" t="n"/>
      <c r="B138" s="52" t="n"/>
      <c r="C138" s="52" t="n"/>
      <c r="D138" s="52" t="n"/>
      <c r="E138" s="44" t="n"/>
      <c r="F138" s="56">
        <f>IF(A138="","",COUNTIFS($A$5:$A$304,A138,$D$5:$D$304,"必須"))</f>
        <v/>
      </c>
    </row>
    <row r="139" ht="15" customHeight="1" s="36">
      <c r="A139" s="44" t="n"/>
      <c r="B139" s="52" t="n"/>
      <c r="C139" s="52" t="n"/>
      <c r="D139" s="52" t="n"/>
      <c r="E139" s="44" t="n"/>
      <c r="F139" s="56">
        <f>IF(A139="","",COUNTIFS($A$5:$A$304,A139,$D$5:$D$304,"必須"))</f>
        <v/>
      </c>
    </row>
    <row r="140" ht="15" customHeight="1" s="36">
      <c r="A140" s="44" t="n"/>
      <c r="B140" s="52" t="n"/>
      <c r="C140" s="52" t="n"/>
      <c r="D140" s="52" t="n"/>
      <c r="E140" s="44" t="n"/>
      <c r="F140" s="56">
        <f>IF(A140="","",COUNTIFS($A$5:$A$304,A140,$D$5:$D$304,"必須"))</f>
        <v/>
      </c>
    </row>
    <row r="141" ht="15" customHeight="1" s="36">
      <c r="A141" s="44" t="n"/>
      <c r="B141" s="52" t="n"/>
      <c r="C141" s="52" t="n"/>
      <c r="D141" s="52" t="n"/>
      <c r="E141" s="44" t="n"/>
      <c r="F141" s="56">
        <f>IF(A141="","",COUNTIFS($A$5:$A$304,A141,$D$5:$D$304,"必須"))</f>
        <v/>
      </c>
    </row>
    <row r="142" ht="15" customHeight="1" s="36">
      <c r="A142" s="44" t="n"/>
      <c r="B142" s="52" t="n"/>
      <c r="C142" s="52" t="n"/>
      <c r="D142" s="52" t="n"/>
      <c r="E142" s="44" t="n"/>
      <c r="F142" s="56">
        <f>IF(A142="","",COUNTIFS($A$5:$A$304,A142,$D$5:$D$304,"必須"))</f>
        <v/>
      </c>
    </row>
    <row r="143" ht="15" customHeight="1" s="36">
      <c r="A143" s="44" t="n"/>
      <c r="B143" s="52" t="n"/>
      <c r="C143" s="52" t="n"/>
      <c r="D143" s="52" t="n"/>
      <c r="E143" s="44" t="n"/>
      <c r="F143" s="56">
        <f>IF(A143="","",COUNTIFS($A$5:$A$304,A143,$D$5:$D$304,"必須"))</f>
        <v/>
      </c>
    </row>
    <row r="144" ht="15" customHeight="1" s="36">
      <c r="A144" s="44" t="n"/>
      <c r="B144" s="52" t="n"/>
      <c r="C144" s="52" t="n"/>
      <c r="D144" s="52" t="n"/>
      <c r="E144" s="44" t="n"/>
      <c r="F144" s="56">
        <f>IF(A144="","",COUNTIFS($A$5:$A$304,A144,$D$5:$D$304,"必須"))</f>
        <v/>
      </c>
    </row>
    <row r="145" ht="15" customHeight="1" s="36">
      <c r="A145" s="44" t="n"/>
      <c r="B145" s="52" t="n"/>
      <c r="C145" s="52" t="n"/>
      <c r="D145" s="52" t="n"/>
      <c r="E145" s="44" t="n"/>
      <c r="F145" s="56">
        <f>IF(A145="","",COUNTIFS($A$5:$A$304,A145,$D$5:$D$304,"必須"))</f>
        <v/>
      </c>
    </row>
    <row r="146" ht="15" customHeight="1" s="36">
      <c r="A146" s="44" t="n"/>
      <c r="B146" s="52" t="n"/>
      <c r="C146" s="52" t="n"/>
      <c r="D146" s="52" t="n"/>
      <c r="E146" s="44" t="n"/>
      <c r="F146" s="56">
        <f>IF(A146="","",COUNTIFS($A$5:$A$304,A146,$D$5:$D$304,"必須"))</f>
        <v/>
      </c>
    </row>
    <row r="147" ht="15" customHeight="1" s="36">
      <c r="A147" s="44" t="n"/>
      <c r="B147" s="52" t="n"/>
      <c r="C147" s="52" t="n"/>
      <c r="D147" s="52" t="n"/>
      <c r="E147" s="44" t="n"/>
      <c r="F147" s="56">
        <f>IF(A147="","",COUNTIFS($A$5:$A$304,A147,$D$5:$D$304,"必須"))</f>
        <v/>
      </c>
    </row>
    <row r="148" ht="15" customHeight="1" s="36">
      <c r="A148" s="44" t="n"/>
      <c r="B148" s="52" t="n"/>
      <c r="C148" s="52" t="n"/>
      <c r="D148" s="52" t="n"/>
      <c r="E148" s="44" t="n"/>
      <c r="F148" s="56">
        <f>IF(A148="","",COUNTIFS($A$5:$A$304,A148,$D$5:$D$304,"必須"))</f>
        <v/>
      </c>
    </row>
    <row r="149" ht="15" customHeight="1" s="36">
      <c r="A149" s="44" t="n"/>
      <c r="B149" s="52" t="n"/>
      <c r="C149" s="52" t="n"/>
      <c r="D149" s="52" t="n"/>
      <c r="E149" s="44" t="n"/>
      <c r="F149" s="56">
        <f>IF(A149="","",COUNTIFS($A$5:$A$304,A149,$D$5:$D$304,"必須"))</f>
        <v/>
      </c>
    </row>
    <row r="150" ht="15" customHeight="1" s="36">
      <c r="A150" s="44" t="n"/>
      <c r="B150" s="52" t="n"/>
      <c r="C150" s="52" t="n"/>
      <c r="D150" s="52" t="n"/>
      <c r="E150" s="44" t="n"/>
      <c r="F150" s="56">
        <f>IF(A150="","",COUNTIFS($A$5:$A$304,A150,$D$5:$D$304,"必須"))</f>
        <v/>
      </c>
    </row>
    <row r="151" ht="15" customHeight="1" s="36">
      <c r="A151" s="44" t="n"/>
      <c r="B151" s="52" t="n"/>
      <c r="C151" s="52" t="n"/>
      <c r="D151" s="52" t="n"/>
      <c r="E151" s="44" t="n"/>
      <c r="F151" s="56">
        <f>IF(A151="","",COUNTIFS($A$5:$A$304,A151,$D$5:$D$304,"必須"))</f>
        <v/>
      </c>
    </row>
    <row r="152" ht="15" customHeight="1" s="36">
      <c r="A152" s="44" t="n"/>
      <c r="B152" s="52" t="n"/>
      <c r="C152" s="52" t="n"/>
      <c r="D152" s="52" t="n"/>
      <c r="E152" s="44" t="n"/>
      <c r="F152" s="56">
        <f>IF(A152="","",COUNTIFS($A$5:$A$304,A152,$D$5:$D$304,"必須"))</f>
        <v/>
      </c>
    </row>
    <row r="153" ht="15" customHeight="1" s="36">
      <c r="A153" s="44" t="n"/>
      <c r="B153" s="52" t="n"/>
      <c r="C153" s="52" t="n"/>
      <c r="D153" s="52" t="n"/>
      <c r="E153" s="44" t="n"/>
      <c r="F153" s="56">
        <f>IF(A153="","",COUNTIFS($A$5:$A$304,A153,$D$5:$D$304,"必須"))</f>
        <v/>
      </c>
    </row>
    <row r="154" ht="15" customHeight="1" s="36">
      <c r="A154" s="44" t="n"/>
      <c r="B154" s="52" t="n"/>
      <c r="C154" s="52" t="n"/>
      <c r="D154" s="52" t="n"/>
      <c r="E154" s="44" t="n"/>
      <c r="F154" s="56">
        <f>IF(A154="","",COUNTIFS($A$5:$A$304,A154,$D$5:$D$304,"必須"))</f>
        <v/>
      </c>
    </row>
    <row r="155" ht="15" customHeight="1" s="36">
      <c r="A155" s="44" t="n"/>
      <c r="B155" s="52" t="n"/>
      <c r="C155" s="52" t="n"/>
      <c r="D155" s="52" t="n"/>
      <c r="E155" s="44" t="n"/>
      <c r="F155" s="56">
        <f>IF(A155="","",COUNTIFS($A$5:$A$304,A155,$D$5:$D$304,"必須"))</f>
        <v/>
      </c>
    </row>
    <row r="156" ht="15" customHeight="1" s="36">
      <c r="A156" s="44" t="n"/>
      <c r="B156" s="52" t="n"/>
      <c r="C156" s="52" t="n"/>
      <c r="D156" s="52" t="n"/>
      <c r="E156" s="44" t="n"/>
      <c r="F156" s="56">
        <f>IF(A156="","",COUNTIFS($A$5:$A$304,A156,$D$5:$D$304,"必須"))</f>
        <v/>
      </c>
    </row>
    <row r="157" ht="15" customHeight="1" s="36">
      <c r="A157" s="44" t="n"/>
      <c r="B157" s="52" t="n"/>
      <c r="C157" s="52" t="n"/>
      <c r="D157" s="52" t="n"/>
      <c r="E157" s="44" t="n"/>
      <c r="F157" s="56">
        <f>IF(A157="","",COUNTIFS($A$5:$A$304,A157,$D$5:$D$304,"必須"))</f>
        <v/>
      </c>
    </row>
    <row r="158" ht="15" customHeight="1" s="36">
      <c r="A158" s="44" t="n"/>
      <c r="B158" s="52" t="n"/>
      <c r="C158" s="52" t="n"/>
      <c r="D158" s="52" t="n"/>
      <c r="E158" s="44" t="n"/>
      <c r="F158" s="56">
        <f>IF(A158="","",COUNTIFS($A$5:$A$304,A158,$D$5:$D$304,"必須"))</f>
        <v/>
      </c>
    </row>
    <row r="159" ht="15" customHeight="1" s="36">
      <c r="A159" s="44" t="n"/>
      <c r="B159" s="52" t="n"/>
      <c r="C159" s="52" t="n"/>
      <c r="D159" s="52" t="n"/>
      <c r="E159" s="44" t="n"/>
      <c r="F159" s="56">
        <f>IF(A159="","",COUNTIFS($A$5:$A$304,A159,$D$5:$D$304,"必須"))</f>
        <v/>
      </c>
    </row>
    <row r="160" ht="15" customHeight="1" s="36">
      <c r="A160" s="44" t="n"/>
      <c r="B160" s="52" t="n"/>
      <c r="C160" s="52" t="n"/>
      <c r="D160" s="52" t="n"/>
      <c r="E160" s="44" t="n"/>
      <c r="F160" s="56">
        <f>IF(A160="","",COUNTIFS($A$5:$A$304,A160,$D$5:$D$304,"必須"))</f>
        <v/>
      </c>
    </row>
    <row r="161" ht="15" customHeight="1" s="36">
      <c r="A161" s="44" t="n"/>
      <c r="B161" s="52" t="n"/>
      <c r="C161" s="52" t="n"/>
      <c r="D161" s="52" t="n"/>
      <c r="E161" s="44" t="n"/>
      <c r="F161" s="56">
        <f>IF(A161="","",COUNTIFS($A$5:$A$304,A161,$D$5:$D$304,"必須"))</f>
        <v/>
      </c>
    </row>
    <row r="162" ht="15" customHeight="1" s="36">
      <c r="A162" s="44" t="n"/>
      <c r="B162" s="52" t="n"/>
      <c r="C162" s="52" t="n"/>
      <c r="D162" s="52" t="n"/>
      <c r="E162" s="44" t="n"/>
      <c r="F162" s="56">
        <f>IF(A162="","",COUNTIFS($A$5:$A$304,A162,$D$5:$D$304,"必須"))</f>
        <v/>
      </c>
    </row>
    <row r="163" ht="15" customHeight="1" s="36">
      <c r="A163" s="44" t="n"/>
      <c r="B163" s="52" t="n"/>
      <c r="C163" s="52" t="n"/>
      <c r="D163" s="52" t="n"/>
      <c r="E163" s="44" t="n"/>
      <c r="F163" s="56">
        <f>IF(A163="","",COUNTIFS($A$5:$A$304,A163,$D$5:$D$304,"必須"))</f>
        <v/>
      </c>
    </row>
    <row r="164" ht="15" customHeight="1" s="36">
      <c r="A164" s="44" t="n"/>
      <c r="B164" s="52" t="n"/>
      <c r="C164" s="52" t="n"/>
      <c r="D164" s="52" t="n"/>
      <c r="E164" s="44" t="n"/>
      <c r="F164" s="56">
        <f>IF(A164="","",COUNTIFS($A$5:$A$304,A164,$D$5:$D$304,"必須"))</f>
        <v/>
      </c>
    </row>
    <row r="165" ht="15" customHeight="1" s="36">
      <c r="A165" s="44" t="n"/>
      <c r="B165" s="52" t="n"/>
      <c r="C165" s="52" t="n"/>
      <c r="D165" s="52" t="n"/>
      <c r="E165" s="44" t="n"/>
      <c r="F165" s="56">
        <f>IF(A165="","",COUNTIFS($A$5:$A$304,A165,$D$5:$D$304,"必須"))</f>
        <v/>
      </c>
    </row>
    <row r="166" ht="15" customHeight="1" s="36">
      <c r="A166" s="44" t="n"/>
      <c r="B166" s="52" t="n"/>
      <c r="C166" s="52" t="n"/>
      <c r="D166" s="52" t="n"/>
      <c r="E166" s="44" t="n"/>
      <c r="F166" s="56">
        <f>IF(A166="","",COUNTIFS($A$5:$A$304,A166,$D$5:$D$304,"必須"))</f>
        <v/>
      </c>
    </row>
    <row r="167" ht="15" customHeight="1" s="36">
      <c r="A167" s="44" t="n"/>
      <c r="B167" s="52" t="n"/>
      <c r="C167" s="52" t="n"/>
      <c r="D167" s="52" t="n"/>
      <c r="E167" s="44" t="n"/>
      <c r="F167" s="56">
        <f>IF(A167="","",COUNTIFS($A$5:$A$304,A167,$D$5:$D$304,"必須"))</f>
        <v/>
      </c>
    </row>
    <row r="168" ht="15" customHeight="1" s="36">
      <c r="A168" s="44" t="n"/>
      <c r="B168" s="52" t="n"/>
      <c r="C168" s="52" t="n"/>
      <c r="D168" s="52" t="n"/>
      <c r="E168" s="44" t="n"/>
      <c r="F168" s="56">
        <f>IF(A168="","",COUNTIFS($A$5:$A$304,A168,$D$5:$D$304,"必須"))</f>
        <v/>
      </c>
    </row>
    <row r="169" ht="15" customHeight="1" s="36">
      <c r="A169" s="44" t="n"/>
      <c r="B169" s="52" t="n"/>
      <c r="C169" s="52" t="n"/>
      <c r="D169" s="52" t="n"/>
      <c r="E169" s="44" t="n"/>
      <c r="F169" s="56">
        <f>IF(A169="","",COUNTIFS($A$5:$A$304,A169,$D$5:$D$304,"必須"))</f>
        <v/>
      </c>
    </row>
    <row r="170" ht="15" customHeight="1" s="36">
      <c r="A170" s="44" t="n"/>
      <c r="B170" s="52" t="n"/>
      <c r="C170" s="52" t="n"/>
      <c r="D170" s="52" t="n"/>
      <c r="E170" s="44" t="n"/>
      <c r="F170" s="56">
        <f>IF(A170="","",COUNTIFS($A$5:$A$304,A170,$D$5:$D$304,"必須"))</f>
        <v/>
      </c>
    </row>
    <row r="171" ht="15" customHeight="1" s="36">
      <c r="A171" s="44" t="n"/>
      <c r="B171" s="52" t="n"/>
      <c r="C171" s="52" t="n"/>
      <c r="D171" s="52" t="n"/>
      <c r="E171" s="44" t="n"/>
      <c r="F171" s="56">
        <f>IF(A171="","",COUNTIFS($A$5:$A$304,A171,$D$5:$D$304,"必須"))</f>
        <v/>
      </c>
    </row>
    <row r="172" ht="15" customHeight="1" s="36">
      <c r="A172" s="44" t="n"/>
      <c r="B172" s="52" t="n"/>
      <c r="C172" s="52" t="n"/>
      <c r="D172" s="52" t="n"/>
      <c r="E172" s="44" t="n"/>
      <c r="F172" s="56">
        <f>IF(A172="","",COUNTIFS($A$5:$A$304,A172,$D$5:$D$304,"必須"))</f>
        <v/>
      </c>
    </row>
    <row r="173" ht="15" customHeight="1" s="36">
      <c r="A173" s="44" t="n"/>
      <c r="B173" s="52" t="n"/>
      <c r="C173" s="52" t="n"/>
      <c r="D173" s="52" t="n"/>
      <c r="E173" s="44" t="n"/>
      <c r="F173" s="56">
        <f>IF(A173="","",COUNTIFS($A$5:$A$304,A173,$D$5:$D$304,"必須"))</f>
        <v/>
      </c>
    </row>
    <row r="174" ht="15" customHeight="1" s="36">
      <c r="A174" s="44" t="n"/>
      <c r="B174" s="52" t="n"/>
      <c r="C174" s="52" t="n"/>
      <c r="D174" s="52" t="n"/>
      <c r="E174" s="44" t="n"/>
      <c r="F174" s="56">
        <f>IF(A174="","",COUNTIFS($A$5:$A$304,A174,$D$5:$D$304,"必須"))</f>
        <v/>
      </c>
    </row>
    <row r="175" ht="15" customHeight="1" s="36">
      <c r="A175" s="44" t="n"/>
      <c r="B175" s="52" t="n"/>
      <c r="C175" s="52" t="n"/>
      <c r="D175" s="52" t="n"/>
      <c r="E175" s="44" t="n"/>
      <c r="F175" s="56">
        <f>IF(A175="","",COUNTIFS($A$5:$A$304,A175,$D$5:$D$304,"必須"))</f>
        <v/>
      </c>
    </row>
    <row r="176" ht="15" customHeight="1" s="36">
      <c r="A176" s="44" t="n"/>
      <c r="B176" s="52" t="n"/>
      <c r="C176" s="52" t="n"/>
      <c r="D176" s="52" t="n"/>
      <c r="E176" s="44" t="n"/>
      <c r="F176" s="56">
        <f>IF(A176="","",COUNTIFS($A$5:$A$304,A176,$D$5:$D$304,"必須"))</f>
        <v/>
      </c>
    </row>
    <row r="177" ht="15" customHeight="1" s="36">
      <c r="A177" s="44" t="n"/>
      <c r="B177" s="52" t="n"/>
      <c r="C177" s="52" t="n"/>
      <c r="D177" s="52" t="n"/>
      <c r="E177" s="44" t="n"/>
      <c r="F177" s="56">
        <f>IF(A177="","",COUNTIFS($A$5:$A$304,A177,$D$5:$D$304,"必須"))</f>
        <v/>
      </c>
    </row>
    <row r="178" ht="15" customHeight="1" s="36">
      <c r="A178" s="44" t="n"/>
      <c r="B178" s="52" t="n"/>
      <c r="C178" s="52" t="n"/>
      <c r="D178" s="52" t="n"/>
      <c r="E178" s="44" t="n"/>
      <c r="F178" s="56">
        <f>IF(A178="","",COUNTIFS($A$5:$A$304,A178,$D$5:$D$304,"必須"))</f>
        <v/>
      </c>
    </row>
    <row r="179" ht="15" customHeight="1" s="36">
      <c r="A179" s="44" t="n"/>
      <c r="B179" s="52" t="n"/>
      <c r="C179" s="52" t="n"/>
      <c r="D179" s="52" t="n"/>
      <c r="E179" s="44" t="n"/>
      <c r="F179" s="56">
        <f>IF(A179="","",COUNTIFS($A$5:$A$304,A179,$D$5:$D$304,"必須"))</f>
        <v/>
      </c>
    </row>
    <row r="180" ht="15" customHeight="1" s="36">
      <c r="A180" s="44" t="n"/>
      <c r="B180" s="52" t="n"/>
      <c r="C180" s="52" t="n"/>
      <c r="D180" s="52" t="n"/>
      <c r="E180" s="44" t="n"/>
      <c r="F180" s="56">
        <f>IF(A180="","",COUNTIFS($A$5:$A$304,A180,$D$5:$D$304,"必須"))</f>
        <v/>
      </c>
    </row>
    <row r="181" ht="15" customHeight="1" s="36">
      <c r="A181" s="44" t="n"/>
      <c r="B181" s="52" t="n"/>
      <c r="C181" s="52" t="n"/>
      <c r="D181" s="52" t="n"/>
      <c r="E181" s="44" t="n"/>
      <c r="F181" s="56">
        <f>IF(A181="","",COUNTIFS($A$5:$A$304,A181,$D$5:$D$304,"必須"))</f>
        <v/>
      </c>
    </row>
    <row r="182" ht="15" customHeight="1" s="36">
      <c r="A182" s="44" t="n"/>
      <c r="B182" s="52" t="n"/>
      <c r="C182" s="52" t="n"/>
      <c r="D182" s="52" t="n"/>
      <c r="E182" s="44" t="n"/>
      <c r="F182" s="56">
        <f>IF(A182="","",COUNTIFS($A$5:$A$304,A182,$D$5:$D$304,"必須"))</f>
        <v/>
      </c>
    </row>
    <row r="183" ht="15" customHeight="1" s="36">
      <c r="A183" s="44" t="n"/>
      <c r="B183" s="52" t="n"/>
      <c r="C183" s="52" t="n"/>
      <c r="D183" s="52" t="n"/>
      <c r="E183" s="44" t="n"/>
      <c r="F183" s="56">
        <f>IF(A183="","",COUNTIFS($A$5:$A$304,A183,$D$5:$D$304,"必須"))</f>
        <v/>
      </c>
    </row>
    <row r="184" ht="15" customHeight="1" s="36">
      <c r="A184" s="44" t="n"/>
      <c r="B184" s="52" t="n"/>
      <c r="C184" s="52" t="n"/>
      <c r="D184" s="52" t="n"/>
      <c r="E184" s="44" t="n"/>
      <c r="F184" s="56">
        <f>IF(A184="","",COUNTIFS($A$5:$A$304,A184,$D$5:$D$304,"必須"))</f>
        <v/>
      </c>
    </row>
    <row r="185" ht="15" customHeight="1" s="36">
      <c r="A185" s="44" t="n"/>
      <c r="B185" s="52" t="n"/>
      <c r="C185" s="52" t="n"/>
      <c r="D185" s="52" t="n"/>
      <c r="E185" s="44" t="n"/>
      <c r="F185" s="56">
        <f>IF(A185="","",COUNTIFS($A$5:$A$304,A185,$D$5:$D$304,"必須"))</f>
        <v/>
      </c>
    </row>
    <row r="186" ht="15" customHeight="1" s="36">
      <c r="A186" s="44" t="n"/>
      <c r="B186" s="52" t="n"/>
      <c r="C186" s="52" t="n"/>
      <c r="D186" s="52" t="n"/>
      <c r="E186" s="44" t="n"/>
      <c r="F186" s="56">
        <f>IF(A186="","",COUNTIFS($A$5:$A$304,A186,$D$5:$D$304,"必須"))</f>
        <v/>
      </c>
    </row>
    <row r="187" ht="15" customHeight="1" s="36">
      <c r="A187" s="44" t="n"/>
      <c r="B187" s="52" t="n"/>
      <c r="C187" s="52" t="n"/>
      <c r="D187" s="52" t="n"/>
      <c r="E187" s="44" t="n"/>
      <c r="F187" s="56">
        <f>IF(A187="","",COUNTIFS($A$5:$A$304,A187,$D$5:$D$304,"必須"))</f>
        <v/>
      </c>
    </row>
    <row r="188" ht="15" customHeight="1" s="36">
      <c r="A188" s="44" t="n"/>
      <c r="B188" s="52" t="n"/>
      <c r="C188" s="52" t="n"/>
      <c r="D188" s="52" t="n"/>
      <c r="E188" s="44" t="n"/>
      <c r="F188" s="56">
        <f>IF(A188="","",COUNTIFS($A$5:$A$304,A188,$D$5:$D$304,"必須"))</f>
        <v/>
      </c>
    </row>
    <row r="189" ht="15" customHeight="1" s="36">
      <c r="A189" s="44" t="n"/>
      <c r="B189" s="52" t="n"/>
      <c r="C189" s="52" t="n"/>
      <c r="D189" s="52" t="n"/>
      <c r="E189" s="44" t="n"/>
      <c r="F189" s="56">
        <f>IF(A189="","",COUNTIFS($A$5:$A$304,A189,$D$5:$D$304,"必須"))</f>
        <v/>
      </c>
    </row>
    <row r="190" ht="15" customHeight="1" s="36">
      <c r="A190" s="44" t="n"/>
      <c r="B190" s="52" t="n"/>
      <c r="C190" s="52" t="n"/>
      <c r="D190" s="52" t="n"/>
      <c r="E190" s="44" t="n"/>
      <c r="F190" s="56">
        <f>IF(A190="","",COUNTIFS($A$5:$A$304,A190,$D$5:$D$304,"必須"))</f>
        <v/>
      </c>
    </row>
    <row r="191" ht="15" customHeight="1" s="36">
      <c r="A191" s="44" t="n"/>
      <c r="B191" s="52" t="n"/>
      <c r="C191" s="52" t="n"/>
      <c r="D191" s="52" t="n"/>
      <c r="E191" s="44" t="n"/>
      <c r="F191" s="56">
        <f>IF(A191="","",COUNTIFS($A$5:$A$304,A191,$D$5:$D$304,"必須"))</f>
        <v/>
      </c>
    </row>
    <row r="192" ht="15" customHeight="1" s="36">
      <c r="A192" s="44" t="n"/>
      <c r="B192" s="52" t="n"/>
      <c r="C192" s="52" t="n"/>
      <c r="D192" s="52" t="n"/>
      <c r="E192" s="44" t="n"/>
      <c r="F192" s="56">
        <f>IF(A192="","",COUNTIFS($A$5:$A$304,A192,$D$5:$D$304,"必須"))</f>
        <v/>
      </c>
    </row>
    <row r="193" ht="15" customHeight="1" s="36">
      <c r="A193" s="44" t="n"/>
      <c r="B193" s="52" t="n"/>
      <c r="C193" s="52" t="n"/>
      <c r="D193" s="52" t="n"/>
      <c r="E193" s="44" t="n"/>
      <c r="F193" s="56">
        <f>IF(A193="","",COUNTIFS($A$5:$A$304,A193,$D$5:$D$304,"必須"))</f>
        <v/>
      </c>
    </row>
    <row r="194" ht="15" customHeight="1" s="36">
      <c r="A194" s="44" t="n"/>
      <c r="B194" s="52" t="n"/>
      <c r="C194" s="52" t="n"/>
      <c r="D194" s="52" t="n"/>
      <c r="E194" s="44" t="n"/>
      <c r="F194" s="56">
        <f>IF(A194="","",COUNTIFS($A$5:$A$304,A194,$D$5:$D$304,"必須"))</f>
        <v/>
      </c>
    </row>
    <row r="195" ht="15" customHeight="1" s="36">
      <c r="A195" s="44" t="n"/>
      <c r="B195" s="52" t="n"/>
      <c r="C195" s="52" t="n"/>
      <c r="D195" s="52" t="n"/>
      <c r="E195" s="44" t="n"/>
      <c r="F195" s="56">
        <f>IF(A195="","",COUNTIFS($A$5:$A$304,A195,$D$5:$D$304,"必須"))</f>
        <v/>
      </c>
    </row>
    <row r="196" ht="15" customHeight="1" s="36">
      <c r="A196" s="44" t="n"/>
      <c r="B196" s="52" t="n"/>
      <c r="C196" s="52" t="n"/>
      <c r="D196" s="52" t="n"/>
      <c r="E196" s="44" t="n"/>
      <c r="F196" s="56">
        <f>IF(A196="","",COUNTIFS($A$5:$A$304,A196,$D$5:$D$304,"必須"))</f>
        <v/>
      </c>
    </row>
    <row r="197" ht="15" customHeight="1" s="36">
      <c r="A197" s="44" t="n"/>
      <c r="B197" s="52" t="n"/>
      <c r="C197" s="52" t="n"/>
      <c r="D197" s="52" t="n"/>
      <c r="E197" s="44" t="n"/>
      <c r="F197" s="56">
        <f>IF(A197="","",COUNTIFS($A$5:$A$304,A197,$D$5:$D$304,"必須"))</f>
        <v/>
      </c>
    </row>
    <row r="198" ht="15" customHeight="1" s="36">
      <c r="A198" s="44" t="n"/>
      <c r="B198" s="52" t="n"/>
      <c r="C198" s="52" t="n"/>
      <c r="D198" s="52" t="n"/>
      <c r="E198" s="44" t="n"/>
      <c r="F198" s="56">
        <f>IF(A198="","",COUNTIFS($A$5:$A$304,A198,$D$5:$D$304,"必須"))</f>
        <v/>
      </c>
    </row>
    <row r="199" ht="15" customHeight="1" s="36">
      <c r="A199" s="44" t="n"/>
      <c r="B199" s="52" t="n"/>
      <c r="C199" s="52" t="n"/>
      <c r="D199" s="52" t="n"/>
      <c r="E199" s="44" t="n"/>
      <c r="F199" s="56">
        <f>IF(A199="","",COUNTIFS($A$5:$A$304,A199,$D$5:$D$304,"必須"))</f>
        <v/>
      </c>
    </row>
    <row r="200" ht="15" customHeight="1" s="36">
      <c r="A200" s="44" t="n"/>
      <c r="B200" s="52" t="n"/>
      <c r="C200" s="52" t="n"/>
      <c r="D200" s="52" t="n"/>
      <c r="E200" s="44" t="n"/>
      <c r="F200" s="56">
        <f>IF(A200="","",COUNTIFS($A$5:$A$304,A200,$D$5:$D$304,"必須"))</f>
        <v/>
      </c>
    </row>
    <row r="201" ht="15" customHeight="1" s="36">
      <c r="A201" s="44" t="n"/>
      <c r="B201" s="52" t="n"/>
      <c r="C201" s="52" t="n"/>
      <c r="D201" s="52" t="n"/>
      <c r="E201" s="44" t="n"/>
      <c r="F201" s="56">
        <f>IF(A201="","",COUNTIFS($A$5:$A$304,A201,$D$5:$D$304,"必須"))</f>
        <v/>
      </c>
    </row>
    <row r="202" ht="15" customHeight="1" s="36">
      <c r="A202" s="44" t="n"/>
      <c r="B202" s="52" t="n"/>
      <c r="C202" s="52" t="n"/>
      <c r="D202" s="52" t="n"/>
      <c r="E202" s="44" t="n"/>
      <c r="F202" s="56">
        <f>IF(A202="","",COUNTIFS($A$5:$A$304,A202,$D$5:$D$304,"必須"))</f>
        <v/>
      </c>
    </row>
    <row r="203" ht="15" customHeight="1" s="36">
      <c r="A203" s="44" t="n"/>
      <c r="B203" s="52" t="n"/>
      <c r="C203" s="52" t="n"/>
      <c r="D203" s="52" t="n"/>
      <c r="E203" s="44" t="n"/>
      <c r="F203" s="56">
        <f>IF(A203="","",COUNTIFS($A$5:$A$304,A203,$D$5:$D$304,"必須"))</f>
        <v/>
      </c>
    </row>
    <row r="204" ht="15" customHeight="1" s="36">
      <c r="A204" s="44" t="n"/>
      <c r="B204" s="52" t="n"/>
      <c r="C204" s="52" t="n"/>
      <c r="D204" s="52" t="n"/>
      <c r="E204" s="44" t="n"/>
      <c r="F204" s="56">
        <f>IF(A204="","",COUNTIFS($A$5:$A$304,A204,$D$5:$D$304,"必須"))</f>
        <v/>
      </c>
    </row>
    <row r="205" ht="15" customHeight="1" s="36">
      <c r="A205" s="44" t="n"/>
      <c r="B205" s="52" t="n"/>
      <c r="C205" s="52" t="n"/>
      <c r="D205" s="52" t="n"/>
      <c r="E205" s="44" t="n"/>
      <c r="F205" s="56">
        <f>IF(A205="","",COUNTIFS($A$5:$A$304,A205,$D$5:$D$304,"必須"))</f>
        <v/>
      </c>
    </row>
    <row r="206" ht="15" customHeight="1" s="36">
      <c r="A206" s="44" t="n"/>
      <c r="B206" s="52" t="n"/>
      <c r="C206" s="52" t="n"/>
      <c r="D206" s="52" t="n"/>
      <c r="E206" s="44" t="n"/>
      <c r="F206" s="56">
        <f>IF(A206="","",COUNTIFS($A$5:$A$304,A206,$D$5:$D$304,"必須"))</f>
        <v/>
      </c>
    </row>
    <row r="207" ht="15" customHeight="1" s="36">
      <c r="A207" s="44" t="n"/>
      <c r="B207" s="52" t="n"/>
      <c r="C207" s="52" t="n"/>
      <c r="D207" s="52" t="n"/>
      <c r="E207" s="44" t="n"/>
      <c r="F207" s="56">
        <f>IF(A207="","",COUNTIFS($A$5:$A$304,A207,$D$5:$D$304,"必須"))</f>
        <v/>
      </c>
    </row>
    <row r="208" ht="15" customHeight="1" s="36">
      <c r="A208" s="44" t="n"/>
      <c r="B208" s="52" t="n"/>
      <c r="C208" s="52" t="n"/>
      <c r="D208" s="52" t="n"/>
      <c r="E208" s="44" t="n"/>
      <c r="F208" s="56">
        <f>IF(A208="","",COUNTIFS($A$5:$A$304,A208,$D$5:$D$304,"必須"))</f>
        <v/>
      </c>
    </row>
    <row r="209" ht="15" customHeight="1" s="36">
      <c r="A209" s="44" t="n"/>
      <c r="B209" s="52" t="n"/>
      <c r="C209" s="52" t="n"/>
      <c r="D209" s="52" t="n"/>
      <c r="E209" s="44" t="n"/>
      <c r="F209" s="56">
        <f>IF(A209="","",COUNTIFS($A$5:$A$304,A209,$D$5:$D$304,"必須"))</f>
        <v/>
      </c>
    </row>
    <row r="210" ht="15" customHeight="1" s="36">
      <c r="A210" s="44" t="n"/>
      <c r="B210" s="52" t="n"/>
      <c r="C210" s="52" t="n"/>
      <c r="D210" s="52" t="n"/>
      <c r="E210" s="44" t="n"/>
      <c r="F210" s="56">
        <f>IF(A210="","",COUNTIFS($A$5:$A$304,A210,$D$5:$D$304,"必須"))</f>
        <v/>
      </c>
    </row>
    <row r="211" ht="15" customHeight="1" s="36">
      <c r="A211" s="44" t="n"/>
      <c r="B211" s="52" t="n"/>
      <c r="C211" s="52" t="n"/>
      <c r="D211" s="52" t="n"/>
      <c r="E211" s="44" t="n"/>
      <c r="F211" s="56">
        <f>IF(A211="","",COUNTIFS($A$5:$A$304,A211,$D$5:$D$304,"必須"))</f>
        <v/>
      </c>
    </row>
    <row r="212" ht="15" customHeight="1" s="36">
      <c r="A212" s="44" t="n"/>
      <c r="B212" s="52" t="n"/>
      <c r="C212" s="52" t="n"/>
      <c r="D212" s="52" t="n"/>
      <c r="E212" s="44" t="n"/>
      <c r="F212" s="56">
        <f>IF(A212="","",COUNTIFS($A$5:$A$304,A212,$D$5:$D$304,"必須"))</f>
        <v/>
      </c>
    </row>
    <row r="213" ht="15" customHeight="1" s="36">
      <c r="A213" s="44" t="n"/>
      <c r="B213" s="52" t="n"/>
      <c r="C213" s="52" t="n"/>
      <c r="D213" s="52" t="n"/>
      <c r="E213" s="44" t="n"/>
      <c r="F213" s="56">
        <f>IF(A213="","",COUNTIFS($A$5:$A$304,A213,$D$5:$D$304,"必須"))</f>
        <v/>
      </c>
    </row>
    <row r="214" ht="15" customHeight="1" s="36">
      <c r="A214" s="44" t="n"/>
      <c r="B214" s="52" t="n"/>
      <c r="C214" s="52" t="n"/>
      <c r="D214" s="52" t="n"/>
      <c r="E214" s="44" t="n"/>
      <c r="F214" s="56">
        <f>IF(A214="","",COUNTIFS($A$5:$A$304,A214,$D$5:$D$304,"必須"))</f>
        <v/>
      </c>
    </row>
    <row r="215" ht="15" customHeight="1" s="36">
      <c r="A215" s="44" t="n"/>
      <c r="B215" s="52" t="n"/>
      <c r="C215" s="52" t="n"/>
      <c r="D215" s="52" t="n"/>
      <c r="E215" s="44" t="n"/>
      <c r="F215" s="56">
        <f>IF(A215="","",COUNTIFS($A$5:$A$304,A215,$D$5:$D$304,"必須"))</f>
        <v/>
      </c>
    </row>
    <row r="216" ht="15" customHeight="1" s="36">
      <c r="A216" s="44" t="n"/>
      <c r="B216" s="52" t="n"/>
      <c r="C216" s="52" t="n"/>
      <c r="D216" s="52" t="n"/>
      <c r="E216" s="44" t="n"/>
      <c r="F216" s="56">
        <f>IF(A216="","",COUNTIFS($A$5:$A$304,A216,$D$5:$D$304,"必須"))</f>
        <v/>
      </c>
    </row>
    <row r="217" ht="15" customHeight="1" s="36">
      <c r="A217" s="44" t="n"/>
      <c r="B217" s="52" t="n"/>
      <c r="C217" s="52" t="n"/>
      <c r="D217" s="52" t="n"/>
      <c r="E217" s="44" t="n"/>
      <c r="F217" s="56">
        <f>IF(A217="","",COUNTIFS($A$5:$A$304,A217,$D$5:$D$304,"必須"))</f>
        <v/>
      </c>
    </row>
    <row r="218" ht="15" customHeight="1" s="36">
      <c r="A218" s="44" t="n"/>
      <c r="B218" s="52" t="n"/>
      <c r="C218" s="52" t="n"/>
      <c r="D218" s="52" t="n"/>
      <c r="E218" s="44" t="n"/>
      <c r="F218" s="56">
        <f>IF(A218="","",COUNTIFS($A$5:$A$304,A218,$D$5:$D$304,"必須"))</f>
        <v/>
      </c>
    </row>
    <row r="219" ht="15" customHeight="1" s="36">
      <c r="A219" s="44" t="n"/>
      <c r="B219" s="52" t="n"/>
      <c r="C219" s="52" t="n"/>
      <c r="D219" s="52" t="n"/>
      <c r="E219" s="44" t="n"/>
      <c r="F219" s="56">
        <f>IF(A219="","",COUNTIFS($A$5:$A$304,A219,$D$5:$D$304,"必須"))</f>
        <v/>
      </c>
    </row>
    <row r="220" ht="15" customHeight="1" s="36">
      <c r="A220" s="44" t="n"/>
      <c r="B220" s="52" t="n"/>
      <c r="C220" s="52" t="n"/>
      <c r="D220" s="52" t="n"/>
      <c r="E220" s="44" t="n"/>
      <c r="F220" s="56">
        <f>IF(A220="","",COUNTIFS($A$5:$A$304,A220,$D$5:$D$304,"必須"))</f>
        <v/>
      </c>
    </row>
    <row r="221" ht="15" customHeight="1" s="36">
      <c r="A221" s="44" t="n"/>
      <c r="B221" s="52" t="n"/>
      <c r="C221" s="52" t="n"/>
      <c r="D221" s="52" t="n"/>
      <c r="E221" s="44" t="n"/>
      <c r="F221" s="56">
        <f>IF(A221="","",COUNTIFS($A$5:$A$304,A221,$D$5:$D$304,"必須"))</f>
        <v/>
      </c>
    </row>
    <row r="222" ht="15" customHeight="1" s="36">
      <c r="A222" s="44" t="n"/>
      <c r="B222" s="52" t="n"/>
      <c r="C222" s="52" t="n"/>
      <c r="D222" s="52" t="n"/>
      <c r="E222" s="44" t="n"/>
      <c r="F222" s="56">
        <f>IF(A222="","",COUNTIFS($A$5:$A$304,A222,$D$5:$D$304,"必須"))</f>
        <v/>
      </c>
    </row>
    <row r="223" ht="15" customHeight="1" s="36">
      <c r="A223" s="44" t="n"/>
      <c r="B223" s="52" t="n"/>
      <c r="C223" s="52" t="n"/>
      <c r="D223" s="52" t="n"/>
      <c r="E223" s="44" t="n"/>
      <c r="F223" s="56">
        <f>IF(A223="","",COUNTIFS($A$5:$A$304,A223,$D$5:$D$304,"必須"))</f>
        <v/>
      </c>
    </row>
    <row r="224" ht="15" customHeight="1" s="36">
      <c r="A224" s="44" t="n"/>
      <c r="B224" s="52" t="n"/>
      <c r="C224" s="52" t="n"/>
      <c r="D224" s="52" t="n"/>
      <c r="E224" s="44" t="n"/>
      <c r="F224" s="56">
        <f>IF(A224="","",COUNTIFS($A$5:$A$304,A224,$D$5:$D$304,"必須"))</f>
        <v/>
      </c>
    </row>
    <row r="225" ht="15" customHeight="1" s="36">
      <c r="A225" s="44" t="n"/>
      <c r="B225" s="52" t="n"/>
      <c r="C225" s="52" t="n"/>
      <c r="D225" s="52" t="n"/>
      <c r="E225" s="44" t="n"/>
      <c r="F225" s="56">
        <f>IF(A225="","",COUNTIFS($A$5:$A$304,A225,$D$5:$D$304,"必須"))</f>
        <v/>
      </c>
    </row>
    <row r="226" ht="15" customHeight="1" s="36">
      <c r="A226" s="44" t="n"/>
      <c r="B226" s="52" t="n"/>
      <c r="C226" s="52" t="n"/>
      <c r="D226" s="52" t="n"/>
      <c r="E226" s="44" t="n"/>
      <c r="F226" s="56">
        <f>IF(A226="","",COUNTIFS($A$5:$A$304,A226,$D$5:$D$304,"必須"))</f>
        <v/>
      </c>
    </row>
    <row r="227" ht="15" customHeight="1" s="36">
      <c r="A227" s="44" t="n"/>
      <c r="B227" s="52" t="n"/>
      <c r="C227" s="52" t="n"/>
      <c r="D227" s="52" t="n"/>
      <c r="E227" s="44" t="n"/>
      <c r="F227" s="56">
        <f>IF(A227="","",COUNTIFS($A$5:$A$304,A227,$D$5:$D$304,"必須"))</f>
        <v/>
      </c>
    </row>
    <row r="228" ht="15" customHeight="1" s="36">
      <c r="A228" s="44" t="n"/>
      <c r="B228" s="52" t="n"/>
      <c r="C228" s="52" t="n"/>
      <c r="D228" s="52" t="n"/>
      <c r="E228" s="44" t="n"/>
      <c r="F228" s="56">
        <f>IF(A228="","",COUNTIFS($A$5:$A$304,A228,$D$5:$D$304,"必須"))</f>
        <v/>
      </c>
    </row>
    <row r="229" ht="15" customHeight="1" s="36">
      <c r="A229" s="44" t="n"/>
      <c r="B229" s="52" t="n"/>
      <c r="C229" s="52" t="n"/>
      <c r="D229" s="52" t="n"/>
      <c r="E229" s="44" t="n"/>
      <c r="F229" s="56">
        <f>IF(A229="","",COUNTIFS($A$5:$A$304,A229,$D$5:$D$304,"必須"))</f>
        <v/>
      </c>
    </row>
    <row r="230" ht="15" customHeight="1" s="36">
      <c r="A230" s="44" t="n"/>
      <c r="B230" s="52" t="n"/>
      <c r="C230" s="52" t="n"/>
      <c r="D230" s="52" t="n"/>
      <c r="E230" s="44" t="n"/>
      <c r="F230" s="56">
        <f>IF(A230="","",COUNTIFS($A$5:$A$304,A230,$D$5:$D$304,"必須"))</f>
        <v/>
      </c>
    </row>
    <row r="231" ht="15" customHeight="1" s="36">
      <c r="A231" s="44" t="n"/>
      <c r="B231" s="52" t="n"/>
      <c r="C231" s="52" t="n"/>
      <c r="D231" s="52" t="n"/>
      <c r="E231" s="44" t="n"/>
      <c r="F231" s="56">
        <f>IF(A231="","",COUNTIFS($A$5:$A$304,A231,$D$5:$D$304,"必須"))</f>
        <v/>
      </c>
    </row>
    <row r="232" ht="15" customHeight="1" s="36">
      <c r="A232" s="44" t="n"/>
      <c r="B232" s="52" t="n"/>
      <c r="C232" s="52" t="n"/>
      <c r="D232" s="52" t="n"/>
      <c r="E232" s="44" t="n"/>
      <c r="F232" s="56">
        <f>IF(A232="","",COUNTIFS($A$5:$A$304,A232,$D$5:$D$304,"必須"))</f>
        <v/>
      </c>
    </row>
    <row r="233" ht="15" customHeight="1" s="36">
      <c r="A233" s="44" t="n"/>
      <c r="B233" s="52" t="n"/>
      <c r="C233" s="52" t="n"/>
      <c r="D233" s="52" t="n"/>
      <c r="E233" s="44" t="n"/>
      <c r="F233" s="56">
        <f>IF(A233="","",COUNTIFS($A$5:$A$304,A233,$D$5:$D$304,"必須"))</f>
        <v/>
      </c>
    </row>
    <row r="234" ht="15" customHeight="1" s="36">
      <c r="A234" s="44" t="n"/>
      <c r="B234" s="52" t="n"/>
      <c r="C234" s="52" t="n"/>
      <c r="D234" s="52" t="n"/>
      <c r="E234" s="44" t="n"/>
      <c r="F234" s="56">
        <f>IF(A234="","",COUNTIFS($A$5:$A$304,A234,$D$5:$D$304,"必須"))</f>
        <v/>
      </c>
    </row>
    <row r="235" ht="15" customHeight="1" s="36">
      <c r="A235" s="44" t="n"/>
      <c r="B235" s="52" t="n"/>
      <c r="C235" s="52" t="n"/>
      <c r="D235" s="52" t="n"/>
      <c r="E235" s="44" t="n"/>
      <c r="F235" s="56">
        <f>IF(A235="","",COUNTIFS($A$5:$A$304,A235,$D$5:$D$304,"必須"))</f>
        <v/>
      </c>
    </row>
    <row r="236" ht="15" customHeight="1" s="36">
      <c r="A236" s="44" t="n"/>
      <c r="B236" s="52" t="n"/>
      <c r="C236" s="52" t="n"/>
      <c r="D236" s="52" t="n"/>
      <c r="E236" s="44" t="n"/>
      <c r="F236" s="56">
        <f>IF(A236="","",COUNTIFS($A$5:$A$304,A236,$D$5:$D$304,"必須"))</f>
        <v/>
      </c>
    </row>
    <row r="237" ht="15" customHeight="1" s="36">
      <c r="A237" s="44" t="n"/>
      <c r="B237" s="52" t="n"/>
      <c r="C237" s="52" t="n"/>
      <c r="D237" s="52" t="n"/>
      <c r="E237" s="44" t="n"/>
      <c r="F237" s="56">
        <f>IF(A237="","",COUNTIFS($A$5:$A$304,A237,$D$5:$D$304,"必須"))</f>
        <v/>
      </c>
    </row>
    <row r="238" ht="15" customHeight="1" s="36">
      <c r="A238" s="44" t="n"/>
      <c r="B238" s="52" t="n"/>
      <c r="C238" s="52" t="n"/>
      <c r="D238" s="52" t="n"/>
      <c r="E238" s="44" t="n"/>
      <c r="F238" s="56">
        <f>IF(A238="","",COUNTIFS($A$5:$A$304,A238,$D$5:$D$304,"必須"))</f>
        <v/>
      </c>
    </row>
    <row r="239" ht="15" customHeight="1" s="36">
      <c r="A239" s="44" t="n"/>
      <c r="B239" s="52" t="n"/>
      <c r="C239" s="52" t="n"/>
      <c r="D239" s="52" t="n"/>
      <c r="E239" s="44" t="n"/>
      <c r="F239" s="56">
        <f>IF(A239="","",COUNTIFS($A$5:$A$304,A239,$D$5:$D$304,"必須"))</f>
        <v/>
      </c>
    </row>
    <row r="240" ht="15" customHeight="1" s="36">
      <c r="A240" s="44" t="n"/>
      <c r="B240" s="52" t="n"/>
      <c r="C240" s="52" t="n"/>
      <c r="D240" s="52" t="n"/>
      <c r="E240" s="44" t="n"/>
      <c r="F240" s="56">
        <f>IF(A240="","",COUNTIFS($A$5:$A$304,A240,$D$5:$D$304,"必須"))</f>
        <v/>
      </c>
    </row>
    <row r="241" ht="15" customHeight="1" s="36">
      <c r="A241" s="44" t="n"/>
      <c r="B241" s="52" t="n"/>
      <c r="C241" s="52" t="n"/>
      <c r="D241" s="52" t="n"/>
      <c r="E241" s="44" t="n"/>
      <c r="F241" s="56">
        <f>IF(A241="","",COUNTIFS($A$5:$A$304,A241,$D$5:$D$304,"必須"))</f>
        <v/>
      </c>
    </row>
    <row r="242" ht="15" customHeight="1" s="36">
      <c r="A242" s="44" t="n"/>
      <c r="B242" s="52" t="n"/>
      <c r="C242" s="52" t="n"/>
      <c r="D242" s="52" t="n"/>
      <c r="E242" s="44" t="n"/>
      <c r="F242" s="56">
        <f>IF(A242="","",COUNTIFS($A$5:$A$304,A242,$D$5:$D$304,"必須"))</f>
        <v/>
      </c>
    </row>
    <row r="243" ht="15" customHeight="1" s="36">
      <c r="A243" s="44" t="n"/>
      <c r="B243" s="52" t="n"/>
      <c r="C243" s="52" t="n"/>
      <c r="D243" s="52" t="n"/>
      <c r="E243" s="44" t="n"/>
      <c r="F243" s="56">
        <f>IF(A243="","",COUNTIFS($A$5:$A$304,A243,$D$5:$D$304,"必須"))</f>
        <v/>
      </c>
    </row>
    <row r="244" ht="15" customHeight="1" s="36">
      <c r="A244" s="44" t="n"/>
      <c r="B244" s="52" t="n"/>
      <c r="C244" s="52" t="n"/>
      <c r="D244" s="52" t="n"/>
      <c r="E244" s="44" t="n"/>
      <c r="F244" s="56">
        <f>IF(A244="","",COUNTIFS($A$5:$A$304,A244,$D$5:$D$304,"必須"))</f>
        <v/>
      </c>
    </row>
    <row r="245" ht="15" customHeight="1" s="36">
      <c r="A245" s="44" t="n"/>
      <c r="B245" s="52" t="n"/>
      <c r="C245" s="52" t="n"/>
      <c r="D245" s="52" t="n"/>
      <c r="E245" s="44" t="n"/>
      <c r="F245" s="56">
        <f>IF(A245="","",COUNTIFS($A$5:$A$304,A245,$D$5:$D$304,"必須"))</f>
        <v/>
      </c>
    </row>
    <row r="246" ht="15" customHeight="1" s="36">
      <c r="A246" s="44" t="n"/>
      <c r="B246" s="52" t="n"/>
      <c r="C246" s="52" t="n"/>
      <c r="D246" s="52" t="n"/>
      <c r="E246" s="44" t="n"/>
      <c r="F246" s="56">
        <f>IF(A246="","",COUNTIFS($A$5:$A$304,A246,$D$5:$D$304,"必須"))</f>
        <v/>
      </c>
    </row>
    <row r="247" ht="15" customHeight="1" s="36">
      <c r="A247" s="44" t="n"/>
      <c r="B247" s="52" t="n"/>
      <c r="C247" s="52" t="n"/>
      <c r="D247" s="52" t="n"/>
      <c r="E247" s="44" t="n"/>
      <c r="F247" s="56">
        <f>IF(A247="","",COUNTIFS($A$5:$A$304,A247,$D$5:$D$304,"必須"))</f>
        <v/>
      </c>
    </row>
    <row r="248" ht="15" customHeight="1" s="36">
      <c r="A248" s="44" t="n"/>
      <c r="B248" s="52" t="n"/>
      <c r="C248" s="52" t="n"/>
      <c r="D248" s="52" t="n"/>
      <c r="E248" s="44" t="n"/>
      <c r="F248" s="56">
        <f>IF(A248="","",COUNTIFS($A$5:$A$304,A248,$D$5:$D$304,"必須"))</f>
        <v/>
      </c>
    </row>
    <row r="249" ht="15" customHeight="1" s="36">
      <c r="A249" s="44" t="n"/>
      <c r="B249" s="52" t="n"/>
      <c r="C249" s="52" t="n"/>
      <c r="D249" s="52" t="n"/>
      <c r="E249" s="44" t="n"/>
      <c r="F249" s="56">
        <f>IF(A249="","",COUNTIFS($A$5:$A$304,A249,$D$5:$D$304,"必須"))</f>
        <v/>
      </c>
    </row>
    <row r="250" ht="15" customHeight="1" s="36">
      <c r="A250" s="44" t="n"/>
      <c r="B250" s="52" t="n"/>
      <c r="C250" s="52" t="n"/>
      <c r="D250" s="52" t="n"/>
      <c r="E250" s="44" t="n"/>
      <c r="F250" s="56">
        <f>IF(A250="","",COUNTIFS($A$5:$A$304,A250,$D$5:$D$304,"必須"))</f>
        <v/>
      </c>
    </row>
    <row r="251" ht="15" customHeight="1" s="36">
      <c r="A251" s="44" t="n"/>
      <c r="B251" s="52" t="n"/>
      <c r="C251" s="52" t="n"/>
      <c r="D251" s="52" t="n"/>
      <c r="E251" s="44" t="n"/>
      <c r="F251" s="56">
        <f>IF(A251="","",COUNTIFS($A$5:$A$304,A251,$D$5:$D$304,"必須"))</f>
        <v/>
      </c>
    </row>
    <row r="252" ht="15" customHeight="1" s="36">
      <c r="A252" s="44" t="n"/>
      <c r="B252" s="52" t="n"/>
      <c r="C252" s="52" t="n"/>
      <c r="D252" s="52" t="n"/>
      <c r="E252" s="44" t="n"/>
      <c r="F252" s="56">
        <f>IF(A252="","",COUNTIFS($A$5:$A$304,A252,$D$5:$D$304,"必須"))</f>
        <v/>
      </c>
    </row>
    <row r="253" ht="15" customHeight="1" s="36">
      <c r="A253" s="44" t="n"/>
      <c r="B253" s="52" t="n"/>
      <c r="C253" s="52" t="n"/>
      <c r="D253" s="52" t="n"/>
      <c r="E253" s="44" t="n"/>
      <c r="F253" s="56">
        <f>IF(A253="","",COUNTIFS($A$5:$A$304,A253,$D$5:$D$304,"必須"))</f>
        <v/>
      </c>
    </row>
    <row r="254" ht="15" customHeight="1" s="36">
      <c r="A254" s="44" t="n"/>
      <c r="B254" s="52" t="n"/>
      <c r="C254" s="52" t="n"/>
      <c r="D254" s="52" t="n"/>
      <c r="E254" s="44" t="n"/>
      <c r="F254" s="56">
        <f>IF(A254="","",COUNTIFS($A$5:$A$304,A254,$D$5:$D$304,"必須"))</f>
        <v/>
      </c>
    </row>
    <row r="255" ht="15" customHeight="1" s="36">
      <c r="A255" s="44" t="n"/>
      <c r="B255" s="52" t="n"/>
      <c r="C255" s="52" t="n"/>
      <c r="D255" s="52" t="n"/>
      <c r="E255" s="44" t="n"/>
      <c r="F255" s="56">
        <f>IF(A255="","",COUNTIFS($A$5:$A$304,A255,$D$5:$D$304,"必須"))</f>
        <v/>
      </c>
    </row>
    <row r="256" ht="15" customHeight="1" s="36">
      <c r="A256" s="44" t="n"/>
      <c r="B256" s="52" t="n"/>
      <c r="C256" s="52" t="n"/>
      <c r="D256" s="52" t="n"/>
      <c r="E256" s="44" t="n"/>
      <c r="F256" s="56">
        <f>IF(A256="","",COUNTIFS($A$5:$A$304,A256,$D$5:$D$304,"必須"))</f>
        <v/>
      </c>
    </row>
    <row r="257" ht="15" customHeight="1" s="36">
      <c r="A257" s="44" t="n"/>
      <c r="B257" s="52" t="n"/>
      <c r="C257" s="52" t="n"/>
      <c r="D257" s="52" t="n"/>
      <c r="E257" s="44" t="n"/>
      <c r="F257" s="56">
        <f>IF(A257="","",COUNTIFS($A$5:$A$304,A257,$D$5:$D$304,"必須"))</f>
        <v/>
      </c>
    </row>
    <row r="258" ht="15" customHeight="1" s="36">
      <c r="A258" s="44" t="n"/>
      <c r="B258" s="52" t="n"/>
      <c r="C258" s="52" t="n"/>
      <c r="D258" s="52" t="n"/>
      <c r="E258" s="44" t="n"/>
      <c r="F258" s="56">
        <f>IF(A258="","",COUNTIFS($A$5:$A$304,A258,$D$5:$D$304,"必須"))</f>
        <v/>
      </c>
    </row>
    <row r="259" ht="15" customHeight="1" s="36">
      <c r="A259" s="44" t="n"/>
      <c r="B259" s="52" t="n"/>
      <c r="C259" s="52" t="n"/>
      <c r="D259" s="52" t="n"/>
      <c r="E259" s="44" t="n"/>
      <c r="F259" s="56">
        <f>IF(A259="","",COUNTIFS($A$5:$A$304,A259,$D$5:$D$304,"必須"))</f>
        <v/>
      </c>
    </row>
    <row r="260" ht="15" customHeight="1" s="36">
      <c r="A260" s="44" t="n"/>
      <c r="B260" s="52" t="n"/>
      <c r="C260" s="52" t="n"/>
      <c r="D260" s="52" t="n"/>
      <c r="E260" s="44" t="n"/>
      <c r="F260" s="56">
        <f>IF(A260="","",COUNTIFS($A$5:$A$304,A260,$D$5:$D$304,"必須"))</f>
        <v/>
      </c>
    </row>
    <row r="261" ht="15" customHeight="1" s="36">
      <c r="A261" s="44" t="n"/>
      <c r="B261" s="52" t="n"/>
      <c r="C261" s="52" t="n"/>
      <c r="D261" s="52" t="n"/>
      <c r="E261" s="44" t="n"/>
      <c r="F261" s="56">
        <f>IF(A261="","",COUNTIFS($A$5:$A$304,A261,$D$5:$D$304,"必須"))</f>
        <v/>
      </c>
    </row>
    <row r="262" ht="15" customHeight="1" s="36">
      <c r="A262" s="44" t="n"/>
      <c r="B262" s="52" t="n"/>
      <c r="C262" s="52" t="n"/>
      <c r="D262" s="52" t="n"/>
      <c r="E262" s="44" t="n"/>
      <c r="F262" s="56">
        <f>IF(A262="","",COUNTIFS($A$5:$A$304,A262,$D$5:$D$304,"必須"))</f>
        <v/>
      </c>
    </row>
    <row r="263" ht="15" customHeight="1" s="36">
      <c r="A263" s="44" t="n"/>
      <c r="B263" s="52" t="n"/>
      <c r="C263" s="52" t="n"/>
      <c r="D263" s="52" t="n"/>
      <c r="E263" s="44" t="n"/>
      <c r="F263" s="56">
        <f>IF(A263="","",COUNTIFS($A$5:$A$304,A263,$D$5:$D$304,"必須"))</f>
        <v/>
      </c>
    </row>
    <row r="264" ht="15" customHeight="1" s="36">
      <c r="A264" s="44" t="n"/>
      <c r="B264" s="52" t="n"/>
      <c r="C264" s="52" t="n"/>
      <c r="D264" s="52" t="n"/>
      <c r="E264" s="44" t="n"/>
      <c r="F264" s="56">
        <f>IF(A264="","",COUNTIFS($A$5:$A$304,A264,$D$5:$D$304,"必須"))</f>
        <v/>
      </c>
    </row>
    <row r="265" ht="15" customHeight="1" s="36">
      <c r="A265" s="44" t="n"/>
      <c r="B265" s="52" t="n"/>
      <c r="C265" s="52" t="n"/>
      <c r="D265" s="52" t="n"/>
      <c r="E265" s="44" t="n"/>
      <c r="F265" s="56">
        <f>IF(A265="","",COUNTIFS($A$5:$A$304,A265,$D$5:$D$304,"必須"))</f>
        <v/>
      </c>
    </row>
    <row r="266" ht="15" customHeight="1" s="36">
      <c r="A266" s="44" t="n"/>
      <c r="B266" s="52" t="n"/>
      <c r="C266" s="52" t="n"/>
      <c r="D266" s="52" t="n"/>
      <c r="E266" s="44" t="n"/>
      <c r="F266" s="56">
        <f>IF(A266="","",COUNTIFS($A$5:$A$304,A266,$D$5:$D$304,"必須"))</f>
        <v/>
      </c>
    </row>
    <row r="267" ht="15" customHeight="1" s="36">
      <c r="A267" s="44" t="n"/>
      <c r="B267" s="52" t="n"/>
      <c r="C267" s="52" t="n"/>
      <c r="D267" s="52" t="n"/>
      <c r="E267" s="44" t="n"/>
      <c r="F267" s="56">
        <f>IF(A267="","",COUNTIFS($A$5:$A$304,A267,$D$5:$D$304,"必須"))</f>
        <v/>
      </c>
    </row>
    <row r="268" ht="15" customHeight="1" s="36">
      <c r="A268" s="44" t="n"/>
      <c r="B268" s="52" t="n"/>
      <c r="C268" s="52" t="n"/>
      <c r="D268" s="52" t="n"/>
      <c r="E268" s="44" t="n"/>
      <c r="F268" s="56">
        <f>IF(A268="","",COUNTIFS($A$5:$A$304,A268,$D$5:$D$304,"必須"))</f>
        <v/>
      </c>
    </row>
    <row r="269" ht="15" customHeight="1" s="36">
      <c r="A269" s="44" t="n"/>
      <c r="B269" s="52" t="n"/>
      <c r="C269" s="52" t="n"/>
      <c r="D269" s="52" t="n"/>
      <c r="E269" s="44" t="n"/>
      <c r="F269" s="56">
        <f>IF(A269="","",COUNTIFS($A$5:$A$304,A269,$D$5:$D$304,"必須"))</f>
        <v/>
      </c>
    </row>
    <row r="270" ht="15" customHeight="1" s="36">
      <c r="A270" s="44" t="n"/>
      <c r="B270" s="52" t="n"/>
      <c r="C270" s="52" t="n"/>
      <c r="D270" s="52" t="n"/>
      <c r="E270" s="44" t="n"/>
      <c r="F270" s="56">
        <f>IF(A270="","",COUNTIFS($A$5:$A$304,A270,$D$5:$D$304,"必須"))</f>
        <v/>
      </c>
    </row>
    <row r="271" ht="15" customHeight="1" s="36">
      <c r="A271" s="44" t="n"/>
      <c r="B271" s="52" t="n"/>
      <c r="C271" s="52" t="n"/>
      <c r="D271" s="52" t="n"/>
      <c r="E271" s="44" t="n"/>
      <c r="F271" s="56">
        <f>IF(A271="","",COUNTIFS($A$5:$A$304,A271,$D$5:$D$304,"必須"))</f>
        <v/>
      </c>
    </row>
    <row r="272" ht="15" customHeight="1" s="36">
      <c r="A272" s="44" t="n"/>
      <c r="B272" s="52" t="n"/>
      <c r="C272" s="52" t="n"/>
      <c r="D272" s="52" t="n"/>
      <c r="E272" s="44" t="n"/>
      <c r="F272" s="56">
        <f>IF(A272="","",COUNTIFS($A$5:$A$304,A272,$D$5:$D$304,"必須"))</f>
        <v/>
      </c>
    </row>
    <row r="273" ht="15" customHeight="1" s="36">
      <c r="A273" s="44" t="n"/>
      <c r="B273" s="52" t="n"/>
      <c r="C273" s="52" t="n"/>
      <c r="D273" s="52" t="n"/>
      <c r="E273" s="44" t="n"/>
      <c r="F273" s="56">
        <f>IF(A273="","",COUNTIFS($A$5:$A$304,A273,$D$5:$D$304,"必須"))</f>
        <v/>
      </c>
    </row>
    <row r="274" ht="15" customHeight="1" s="36">
      <c r="A274" s="44" t="n"/>
      <c r="B274" s="52" t="n"/>
      <c r="C274" s="52" t="n"/>
      <c r="D274" s="52" t="n"/>
      <c r="E274" s="44" t="n"/>
      <c r="F274" s="56">
        <f>IF(A274="","",COUNTIFS($A$5:$A$304,A274,$D$5:$D$304,"必須"))</f>
        <v/>
      </c>
    </row>
    <row r="275" ht="15" customHeight="1" s="36">
      <c r="A275" s="44" t="n"/>
      <c r="B275" s="52" t="n"/>
      <c r="C275" s="52" t="n"/>
      <c r="D275" s="52" t="n"/>
      <c r="E275" s="44" t="n"/>
      <c r="F275" s="56">
        <f>IF(A275="","",COUNTIFS($A$5:$A$304,A275,$D$5:$D$304,"必須"))</f>
        <v/>
      </c>
    </row>
    <row r="276" ht="15" customHeight="1" s="36">
      <c r="A276" s="44" t="n"/>
      <c r="B276" s="52" t="n"/>
      <c r="C276" s="52" t="n"/>
      <c r="D276" s="52" t="n"/>
      <c r="E276" s="44" t="n"/>
      <c r="F276" s="56">
        <f>IF(A276="","",COUNTIFS($A$5:$A$304,A276,$D$5:$D$304,"必須"))</f>
        <v/>
      </c>
    </row>
    <row r="277" ht="15" customHeight="1" s="36">
      <c r="A277" s="44" t="n"/>
      <c r="B277" s="52" t="n"/>
      <c r="C277" s="52" t="n"/>
      <c r="D277" s="52" t="n"/>
      <c r="E277" s="44" t="n"/>
      <c r="F277" s="56">
        <f>IF(A277="","",COUNTIFS($A$5:$A$304,A277,$D$5:$D$304,"必須"))</f>
        <v/>
      </c>
    </row>
    <row r="278" ht="15" customHeight="1" s="36">
      <c r="A278" s="44" t="n"/>
      <c r="B278" s="52" t="n"/>
      <c r="C278" s="52" t="n"/>
      <c r="D278" s="52" t="n"/>
      <c r="E278" s="44" t="n"/>
      <c r="F278" s="56">
        <f>IF(A278="","",COUNTIFS($A$5:$A$304,A278,$D$5:$D$304,"必須"))</f>
        <v/>
      </c>
    </row>
    <row r="279" ht="15" customHeight="1" s="36">
      <c r="A279" s="44" t="n"/>
      <c r="B279" s="52" t="n"/>
      <c r="C279" s="52" t="n"/>
      <c r="D279" s="52" t="n"/>
      <c r="E279" s="44" t="n"/>
      <c r="F279" s="56">
        <f>IF(A279="","",COUNTIFS($A$5:$A$304,A279,$D$5:$D$304,"必須"))</f>
        <v/>
      </c>
    </row>
    <row r="280" ht="15" customHeight="1" s="36">
      <c r="A280" s="44" t="n"/>
      <c r="B280" s="52" t="n"/>
      <c r="C280" s="52" t="n"/>
      <c r="D280" s="52" t="n"/>
      <c r="E280" s="44" t="n"/>
      <c r="F280" s="56">
        <f>IF(A280="","",COUNTIFS($A$5:$A$304,A280,$D$5:$D$304,"必須"))</f>
        <v/>
      </c>
    </row>
    <row r="281" ht="15" customHeight="1" s="36">
      <c r="A281" s="44" t="n"/>
      <c r="B281" s="52" t="n"/>
      <c r="C281" s="52" t="n"/>
      <c r="D281" s="52" t="n"/>
      <c r="E281" s="44" t="n"/>
      <c r="F281" s="56">
        <f>IF(A281="","",COUNTIFS($A$5:$A$304,A281,$D$5:$D$304,"必須"))</f>
        <v/>
      </c>
    </row>
    <row r="282" ht="15" customHeight="1" s="36">
      <c r="A282" s="44" t="n"/>
      <c r="B282" s="52" t="n"/>
      <c r="C282" s="52" t="n"/>
      <c r="D282" s="52" t="n"/>
      <c r="E282" s="44" t="n"/>
      <c r="F282" s="56">
        <f>IF(A282="","",COUNTIFS($A$5:$A$304,A282,$D$5:$D$304,"必須"))</f>
        <v/>
      </c>
    </row>
    <row r="283" ht="15" customHeight="1" s="36">
      <c r="A283" s="44" t="n"/>
      <c r="B283" s="52" t="n"/>
      <c r="C283" s="52" t="n"/>
      <c r="D283" s="52" t="n"/>
      <c r="E283" s="44" t="n"/>
      <c r="F283" s="56">
        <f>IF(A283="","",COUNTIFS($A$5:$A$304,A283,$D$5:$D$304,"必須"))</f>
        <v/>
      </c>
    </row>
    <row r="284" ht="15" customHeight="1" s="36">
      <c r="A284" s="44" t="n"/>
      <c r="B284" s="52" t="n"/>
      <c r="C284" s="52" t="n"/>
      <c r="D284" s="52" t="n"/>
      <c r="E284" s="44" t="n"/>
      <c r="F284" s="56">
        <f>IF(A284="","",COUNTIFS($A$5:$A$304,A284,$D$5:$D$304,"必須"))</f>
        <v/>
      </c>
    </row>
    <row r="285" ht="15" customHeight="1" s="36">
      <c r="A285" s="44" t="n"/>
      <c r="B285" s="52" t="n"/>
      <c r="C285" s="52" t="n"/>
      <c r="D285" s="52" t="n"/>
      <c r="E285" s="44" t="n"/>
      <c r="F285" s="56">
        <f>IF(A285="","",COUNTIFS($A$5:$A$304,A285,$D$5:$D$304,"必須"))</f>
        <v/>
      </c>
    </row>
    <row r="286" ht="15" customHeight="1" s="36">
      <c r="A286" s="44" t="n"/>
      <c r="B286" s="52" t="n"/>
      <c r="C286" s="52" t="n"/>
      <c r="D286" s="52" t="n"/>
      <c r="E286" s="44" t="n"/>
      <c r="F286" s="56">
        <f>IF(A286="","",COUNTIFS($A$5:$A$304,A286,$D$5:$D$304,"必須"))</f>
        <v/>
      </c>
    </row>
    <row r="287" ht="15" customHeight="1" s="36">
      <c r="A287" s="44" t="n"/>
      <c r="B287" s="52" t="n"/>
      <c r="C287" s="52" t="n"/>
      <c r="D287" s="52" t="n"/>
      <c r="E287" s="44" t="n"/>
      <c r="F287" s="56">
        <f>IF(A287="","",COUNTIFS($A$5:$A$304,A287,$D$5:$D$304,"必須"))</f>
        <v/>
      </c>
    </row>
    <row r="288" ht="15" customHeight="1" s="36">
      <c r="A288" s="44" t="n"/>
      <c r="B288" s="52" t="n"/>
      <c r="C288" s="52" t="n"/>
      <c r="D288" s="52" t="n"/>
      <c r="E288" s="44" t="n"/>
      <c r="F288" s="56">
        <f>IF(A288="","",COUNTIFS($A$5:$A$304,A288,$D$5:$D$304,"必須"))</f>
        <v/>
      </c>
    </row>
    <row r="289" ht="15" customHeight="1" s="36">
      <c r="A289" s="44" t="n"/>
      <c r="B289" s="52" t="n"/>
      <c r="C289" s="52" t="n"/>
      <c r="D289" s="52" t="n"/>
      <c r="E289" s="44" t="n"/>
      <c r="F289" s="56">
        <f>IF(A289="","",COUNTIFS($A$5:$A$304,A289,$D$5:$D$304,"必須"))</f>
        <v/>
      </c>
    </row>
    <row r="290" ht="15" customHeight="1" s="36">
      <c r="A290" s="44" t="n"/>
      <c r="B290" s="52" t="n"/>
      <c r="C290" s="52" t="n"/>
      <c r="D290" s="52" t="n"/>
      <c r="E290" s="44" t="n"/>
      <c r="F290" s="56">
        <f>IF(A290="","",COUNTIFS($A$5:$A$304,A290,$D$5:$D$304,"必須"))</f>
        <v/>
      </c>
    </row>
    <row r="291" ht="15" customHeight="1" s="36">
      <c r="A291" s="44" t="n"/>
      <c r="B291" s="52" t="n"/>
      <c r="C291" s="52" t="n"/>
      <c r="D291" s="52" t="n"/>
      <c r="E291" s="44" t="n"/>
      <c r="F291" s="56">
        <f>IF(A291="","",COUNTIFS($A$5:$A$304,A291,$D$5:$D$304,"必須"))</f>
        <v/>
      </c>
    </row>
    <row r="292" ht="15" customHeight="1" s="36">
      <c r="A292" s="44" t="n"/>
      <c r="B292" s="52" t="n"/>
      <c r="C292" s="52" t="n"/>
      <c r="D292" s="52" t="n"/>
      <c r="E292" s="44" t="n"/>
      <c r="F292" s="56">
        <f>IF(A292="","",COUNTIFS($A$5:$A$304,A292,$D$5:$D$304,"必須"))</f>
        <v/>
      </c>
    </row>
    <row r="293" ht="15" customHeight="1" s="36">
      <c r="A293" s="44" t="n"/>
      <c r="B293" s="52" t="n"/>
      <c r="C293" s="52" t="n"/>
      <c r="D293" s="52" t="n"/>
      <c r="E293" s="44" t="n"/>
      <c r="F293" s="56">
        <f>IF(A293="","",COUNTIFS($A$5:$A$304,A293,$D$5:$D$304,"必須"))</f>
        <v/>
      </c>
    </row>
    <row r="294" ht="15" customHeight="1" s="36">
      <c r="A294" s="44" t="n"/>
      <c r="B294" s="52" t="n"/>
      <c r="C294" s="52" t="n"/>
      <c r="D294" s="52" t="n"/>
      <c r="E294" s="44" t="n"/>
      <c r="F294" s="56">
        <f>IF(A294="","",COUNTIFS($A$5:$A$304,A294,$D$5:$D$304,"必須"))</f>
        <v/>
      </c>
    </row>
    <row r="295" ht="15" customHeight="1" s="36">
      <c r="A295" s="44" t="n"/>
      <c r="B295" s="52" t="n"/>
      <c r="C295" s="52" t="n"/>
      <c r="D295" s="52" t="n"/>
      <c r="E295" s="44" t="n"/>
      <c r="F295" s="56">
        <f>IF(A295="","",COUNTIFS($A$5:$A$304,A295,$D$5:$D$304,"必須"))</f>
        <v/>
      </c>
    </row>
    <row r="296" ht="15" customHeight="1" s="36">
      <c r="A296" s="44" t="n"/>
      <c r="B296" s="52" t="n"/>
      <c r="C296" s="52" t="n"/>
      <c r="D296" s="52" t="n"/>
      <c r="E296" s="44" t="n"/>
      <c r="F296" s="56">
        <f>IF(A296="","",COUNTIFS($A$5:$A$304,A296,$D$5:$D$304,"必須"))</f>
        <v/>
      </c>
    </row>
    <row r="297" ht="15" customHeight="1" s="36">
      <c r="A297" s="44" t="n"/>
      <c r="B297" s="52" t="n"/>
      <c r="C297" s="52" t="n"/>
      <c r="D297" s="52" t="n"/>
      <c r="E297" s="44" t="n"/>
      <c r="F297" s="56">
        <f>IF(A297="","",COUNTIFS($A$5:$A$304,A297,$D$5:$D$304,"必須"))</f>
        <v/>
      </c>
    </row>
    <row r="298" ht="15" customHeight="1" s="36">
      <c r="A298" s="44" t="n"/>
      <c r="B298" s="52" t="n"/>
      <c r="C298" s="52" t="n"/>
      <c r="D298" s="52" t="n"/>
      <c r="E298" s="44" t="n"/>
      <c r="F298" s="56">
        <f>IF(A298="","",COUNTIFS($A$5:$A$304,A298,$D$5:$D$304,"必須"))</f>
        <v/>
      </c>
    </row>
    <row r="299" ht="15" customHeight="1" s="36">
      <c r="A299" s="44" t="n"/>
      <c r="B299" s="52" t="n"/>
      <c r="C299" s="52" t="n"/>
      <c r="D299" s="52" t="n"/>
      <c r="E299" s="44" t="n"/>
      <c r="F299" s="56">
        <f>IF(A299="","",COUNTIFS($A$5:$A$304,A299,$D$5:$D$304,"必須"))</f>
        <v/>
      </c>
    </row>
    <row r="300" ht="15" customHeight="1" s="36">
      <c r="A300" s="44" t="n"/>
      <c r="B300" s="52" t="n"/>
      <c r="C300" s="52" t="n"/>
      <c r="D300" s="52" t="n"/>
      <c r="E300" s="44" t="n"/>
      <c r="F300" s="56">
        <f>IF(A300="","",COUNTIFS($A$5:$A$304,A300,$D$5:$D$304,"必須"))</f>
        <v/>
      </c>
    </row>
    <row r="301" ht="15" customHeight="1" s="36">
      <c r="A301" s="44" t="n"/>
      <c r="B301" s="52" t="n"/>
      <c r="C301" s="52" t="n"/>
      <c r="D301" s="52" t="n"/>
      <c r="E301" s="44" t="n"/>
      <c r="F301" s="56">
        <f>IF(A301="","",COUNTIFS($A$5:$A$304,A301,$D$5:$D$304,"必須"))</f>
        <v/>
      </c>
    </row>
    <row r="302" ht="15" customHeight="1" s="36">
      <c r="A302" s="44" t="n"/>
      <c r="B302" s="52" t="n"/>
      <c r="C302" s="52" t="n"/>
      <c r="D302" s="52" t="n"/>
      <c r="E302" s="44" t="n"/>
      <c r="F302" s="56">
        <f>IF(A302="","",COUNTIFS($A$5:$A$304,A302,$D$5:$D$304,"必須"))</f>
        <v/>
      </c>
    </row>
    <row r="303" ht="15" customHeight="1" s="36">
      <c r="A303" s="44" t="n"/>
      <c r="B303" s="52" t="n"/>
      <c r="C303" s="52" t="n"/>
      <c r="D303" s="52" t="n"/>
      <c r="E303" s="44" t="n"/>
      <c r="F303" s="56">
        <f>IF(A303="","",COUNTIFS($A$5:$A$304,A303,$D$5:$D$304,"必須"))</f>
        <v/>
      </c>
    </row>
    <row r="304" ht="15" customHeight="1" s="36">
      <c r="A304" s="44" t="n"/>
      <c r="B304" s="52" t="n"/>
      <c r="C304" s="52" t="n"/>
      <c r="D304" s="52" t="n"/>
      <c r="E304" s="44" t="n"/>
      <c r="F304" s="56">
        <f>IF(A304="","",COUNTIFS($A$5:$A$304,A304,$D$5:$D$304,"必須"))</f>
        <v/>
      </c>
    </row>
  </sheetData>
  <mergeCells count="2">
    <mergeCell ref="A2:F2"/>
    <mergeCell ref="A1:F1"/>
  </mergeCells>
  <dataValidations count="3">
    <dataValidation sqref="B5:B304" showDropDown="0" showInputMessage="0" showErrorMessage="0" allowBlank="1" type="list" errorStyle="stop" operator="between">
      <formula1>選項!$C$2:$C$6</formula1>
      <formula2>0</formula2>
    </dataValidation>
    <dataValidation sqref="C5:C304" showDropDown="0" showInputMessage="0" showErrorMessage="0" allowBlank="1" type="list" errorStyle="stop" operator="between">
      <formula1>選項!$L$2:$L$11</formula1>
      <formula2>0</formula2>
    </dataValidation>
    <dataValidation sqref="D5:D304" showDropDown="0" showInputMessage="0" showErrorMessage="0" allowBlank="1" type="list" errorStyle="stop" operator="between">
      <formula1>選項!$F$2:$F$3</formula1>
      <formula2>0</formula2>
    </dataValidation>
  </dataValidation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5" min="1" max="1"/>
    <col width="16" customWidth="1" style="35" min="2" max="6"/>
  </cols>
  <sheetData>
    <row r="1" ht="33.75" customHeight="1" s="36">
      <c r="A1" s="57" t="inlineStr">
        <is>
          <t>115 學年度　科任老師排課需求單</t>
        </is>
      </c>
    </row>
    <row r="2" ht="30" customHeight="1" s="36">
      <c r="A2" s="58" t="inlineStr">
        <is>
          <t>教師姓名：＿＿＿＿＿＿＿＿　任教科目：＿＿＿＿＿＿＿＿</t>
        </is>
      </c>
    </row>
    <row r="3" ht="25.5" customHeight="1" s="36">
      <c r="A3" s="59" t="inlineStr">
        <is>
          <t>請在不想被排課的格子畫記：「○」＝希望不排　「●」＝必須不排（最多 3 格）</t>
        </is>
      </c>
    </row>
    <row r="5" ht="20.1" customHeight="1" s="36">
      <c r="A5" s="60" t="inlineStr">
        <is>
          <t>節次</t>
        </is>
      </c>
      <c r="B5" s="60" t="inlineStr">
        <is>
          <t>星期一</t>
        </is>
      </c>
      <c r="C5" s="60" t="inlineStr">
        <is>
          <t>星期二</t>
        </is>
      </c>
      <c r="D5" s="60" t="inlineStr">
        <is>
          <t>星期三</t>
        </is>
      </c>
      <c r="E5" s="60" t="inlineStr">
        <is>
          <t>星期四</t>
        </is>
      </c>
      <c r="F5" s="60" t="inlineStr">
        <is>
          <t>星期五</t>
        </is>
      </c>
    </row>
    <row r="6" ht="45.75" customHeight="1" s="36">
      <c r="A6" s="61" t="inlineStr">
        <is>
          <t>第1節</t>
        </is>
      </c>
      <c r="B6" s="62" t="n"/>
      <c r="C6" s="62" t="n"/>
      <c r="D6" s="63" t="inlineStr">
        <is>
          <t>綠色迪士尼</t>
        </is>
      </c>
      <c r="E6" s="62" t="n"/>
      <c r="F6" s="62" t="n"/>
    </row>
    <row r="7" ht="45.75" customHeight="1" s="36">
      <c r="A7" s="61" t="inlineStr">
        <is>
          <t>第2節</t>
        </is>
      </c>
      <c r="B7" s="62" t="n"/>
      <c r="C7" s="62" t="n"/>
      <c r="D7" s="62" t="n"/>
      <c r="E7" s="62" t="n"/>
      <c r="F7" s="62" t="n"/>
    </row>
    <row r="8" ht="15.75" customHeight="1" s="36">
      <c r="A8" s="64" t="inlineStr">
        <is>
          <t>大下課</t>
        </is>
      </c>
    </row>
    <row r="9" ht="45.75" customHeight="1" s="36">
      <c r="A9" s="61" t="inlineStr">
        <is>
          <t>第3節</t>
        </is>
      </c>
      <c r="B9" s="62" t="n"/>
      <c r="C9" s="62" t="n"/>
      <c r="D9" s="62" t="n"/>
      <c r="E9" s="62" t="n"/>
      <c r="F9" s="62" t="n"/>
    </row>
    <row r="10" ht="45.75" customHeight="1" s="36">
      <c r="A10" s="61" t="inlineStr">
        <is>
          <t>第4節</t>
        </is>
      </c>
      <c r="B10" s="62" t="n"/>
      <c r="C10" s="62" t="n"/>
      <c r="D10" s="62" t="n"/>
      <c r="E10" s="62" t="n"/>
      <c r="F10" s="62" t="n"/>
    </row>
    <row r="11" ht="15.75" customHeight="1" s="36">
      <c r="A11" s="64" t="inlineStr">
        <is>
          <t>午餐・午休</t>
        </is>
      </c>
    </row>
    <row r="12" ht="45.75" customHeight="1" s="36">
      <c r="A12" s="61" t="inlineStr">
        <is>
          <t>第5節</t>
        </is>
      </c>
      <c r="B12" s="62" t="n"/>
      <c r="C12" s="62" t="n"/>
      <c r="D12" s="62" t="n"/>
      <c r="E12" s="62" t="n"/>
      <c r="F12" s="62" t="n"/>
    </row>
    <row r="13" ht="45.75" customHeight="1" s="36">
      <c r="A13" s="61" t="inlineStr">
        <is>
          <t>第6節</t>
        </is>
      </c>
      <c r="B13" s="62" t="n"/>
      <c r="C13" s="62" t="n"/>
      <c r="D13" s="62" t="n"/>
      <c r="E13" s="62" t="n"/>
      <c r="F13" s="62" t="n"/>
    </row>
    <row r="14" ht="45.75" customHeight="1" s="36">
      <c r="A14" s="61" t="inlineStr">
        <is>
          <t>第7節</t>
        </is>
      </c>
      <c r="B14" s="62" t="n"/>
      <c r="C14" s="62" t="n"/>
      <c r="D14" s="62" t="n"/>
      <c r="E14" s="62" t="n"/>
      <c r="F14" s="62" t="n"/>
    </row>
    <row r="16" ht="19.4" customHeight="1" s="36">
      <c r="A16" s="65" t="inlineStr">
        <is>
          <t>其他特殊要求或說明：</t>
        </is>
      </c>
    </row>
    <row r="17" ht="27.75" customHeight="1" s="36">
      <c r="A17" s="66" t="n"/>
      <c r="B17" s="67" t="n"/>
      <c r="C17" s="67" t="n"/>
      <c r="D17" s="67" t="n"/>
      <c r="E17" s="67" t="n"/>
      <c r="F17" s="67" t="n"/>
    </row>
    <row r="18" ht="27.75" customHeight="1" s="36">
      <c r="A18" s="66" t="n"/>
      <c r="B18" s="67" t="n"/>
      <c r="C18" s="67" t="n"/>
      <c r="D18" s="67" t="n"/>
      <c r="E18" s="67" t="n"/>
      <c r="F18" s="67" t="n"/>
    </row>
    <row r="19" ht="27.75" customHeight="1" s="36">
      <c r="A19" s="66" t="n"/>
      <c r="B19" s="67" t="n"/>
      <c r="C19" s="67" t="n"/>
      <c r="D19" s="67" t="n"/>
      <c r="E19" s="67" t="n"/>
      <c r="F19" s="67" t="n"/>
    </row>
    <row r="21" ht="15" customHeight="1" s="36">
      <c r="A21" s="49" t="inlineStr">
        <is>
          <t>※「必須」最多 3 格，若大家都填同一時段可能排不出來，還請見諒。填好請交回教學組，謝謝您！</t>
        </is>
      </c>
    </row>
  </sheetData>
  <mergeCells count="10">
    <mergeCell ref="A16:F16"/>
    <mergeCell ref="A11:F11"/>
    <mergeCell ref="A2:F2"/>
    <mergeCell ref="A19:F19"/>
    <mergeCell ref="A1:F1"/>
    <mergeCell ref="A8:F8"/>
    <mergeCell ref="A17:F17"/>
    <mergeCell ref="A18:F18"/>
    <mergeCell ref="A3:F3"/>
    <mergeCell ref="A21:F21"/>
  </mergeCells>
  <printOptions horizontalCentered="1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E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35" min="1" max="2"/>
    <col width="14" customWidth="1" style="35" min="3" max="3"/>
    <col width="11" customWidth="1" style="35" min="4" max="4"/>
    <col width="13" customWidth="1" style="35" min="5" max="5"/>
  </cols>
  <sheetData>
    <row r="1" ht="23.85" customHeight="1" s="36">
      <c r="A1" s="68" t="inlineStr">
        <is>
          <t>10. 節數檢核（自動計算，不用填）</t>
        </is>
      </c>
    </row>
    <row r="2" ht="15" customHeight="1" s="36">
      <c r="A2" s="69" t="inlineStr">
        <is>
          <t>依「科任配課」「本土語預排」自動計算。科任節數為 0 的班級，代表還沒填配課。</t>
        </is>
      </c>
    </row>
    <row r="3" ht="32.8" customHeight="1" s="36">
      <c r="A3" s="39" t="inlineStr">
        <is>
          <t>班級</t>
        </is>
      </c>
      <c r="B3" s="39" t="inlineStr">
        <is>
          <t>科任節數</t>
        </is>
      </c>
      <c r="C3" s="39" t="inlineStr">
        <is>
          <t>其中到專科教室</t>
        </is>
      </c>
      <c r="D3" s="39" t="inlineStr">
        <is>
          <t>本土語節數</t>
        </is>
      </c>
      <c r="E3" s="39" t="inlineStr">
        <is>
          <t>特教抽離節數</t>
        </is>
      </c>
    </row>
    <row r="4" ht="17.15" customHeight="1" s="36">
      <c r="A4" s="40" t="inlineStr">
        <is>
          <t>1年1班</t>
        </is>
      </c>
      <c r="B4" s="41">
        <f>SUMIF(科任配課!$C$5:$C$304,A4,科任配課!$D$5:$D$304)</f>
        <v/>
      </c>
      <c r="C4" s="41">
        <f>SUMIFS(科任配課!$F$5:$F$304,科任配課!$C$5:$C$304,A4,科任配課!$E$5:$E$304,"&lt;&gt;原班教室")</f>
        <v/>
      </c>
      <c r="D4" s="41">
        <f>COUNTIF(本土語預排!$A$5:$A$154,A4)</f>
        <v/>
      </c>
      <c r="E4" s="41">
        <f>COUNTIF(特教抽離!$B$5:$B$124,A4)</f>
        <v/>
      </c>
    </row>
    <row r="5" ht="17.15" customHeight="1" s="36">
      <c r="A5" s="40" t="inlineStr">
        <is>
          <t>1年2班</t>
        </is>
      </c>
      <c r="B5" s="41">
        <f>SUMIF(科任配課!$C$5:$C$304,A5,科任配課!$D$5:$D$304)</f>
        <v/>
      </c>
      <c r="C5" s="41">
        <f>SUMIFS(科任配課!$F$5:$F$304,科任配課!$C$5:$C$304,A5,科任配課!$E$5:$E$304,"&lt;&gt;原班教室")</f>
        <v/>
      </c>
      <c r="D5" s="41">
        <f>COUNTIF(本土語預排!$A$5:$A$154,A5)</f>
        <v/>
      </c>
      <c r="E5" s="41">
        <f>COUNTIF(特教抽離!$B$5:$B$124,A5)</f>
        <v/>
      </c>
    </row>
    <row r="6" ht="17.15" customHeight="1" s="36">
      <c r="A6" s="40" t="inlineStr">
        <is>
          <t>1年3班</t>
        </is>
      </c>
      <c r="B6" s="41">
        <f>SUMIF(科任配課!$C$5:$C$304,A6,科任配課!$D$5:$D$304)</f>
        <v/>
      </c>
      <c r="C6" s="41">
        <f>SUMIFS(科任配課!$F$5:$F$304,科任配課!$C$5:$C$304,A6,科任配課!$E$5:$E$304,"&lt;&gt;原班教室")</f>
        <v/>
      </c>
      <c r="D6" s="41">
        <f>COUNTIF(本土語預排!$A$5:$A$154,A6)</f>
        <v/>
      </c>
      <c r="E6" s="41">
        <f>COUNTIF(特教抽離!$B$5:$B$124,A6)</f>
        <v/>
      </c>
    </row>
    <row r="7" ht="17.15" customHeight="1" s="36">
      <c r="A7" s="40" t="inlineStr">
        <is>
          <t>1年4班</t>
        </is>
      </c>
      <c r="B7" s="41">
        <f>SUMIF(科任配課!$C$5:$C$304,A7,科任配課!$D$5:$D$304)</f>
        <v/>
      </c>
      <c r="C7" s="41">
        <f>SUMIFS(科任配課!$F$5:$F$304,科任配課!$C$5:$C$304,A7,科任配課!$E$5:$E$304,"&lt;&gt;原班教室")</f>
        <v/>
      </c>
      <c r="D7" s="41">
        <f>COUNTIF(本土語預排!$A$5:$A$154,A7)</f>
        <v/>
      </c>
      <c r="E7" s="41">
        <f>COUNTIF(特教抽離!$B$5:$B$124,A7)</f>
        <v/>
      </c>
    </row>
    <row r="8" ht="17.15" customHeight="1" s="36">
      <c r="A8" s="40" t="inlineStr">
        <is>
          <t>1年5班</t>
        </is>
      </c>
      <c r="B8" s="41">
        <f>SUMIF(科任配課!$C$5:$C$304,A8,科任配課!$D$5:$D$304)</f>
        <v/>
      </c>
      <c r="C8" s="41">
        <f>SUMIFS(科任配課!$F$5:$F$304,科任配課!$C$5:$C$304,A8,科任配課!$E$5:$E$304,"&lt;&gt;原班教室")</f>
        <v/>
      </c>
      <c r="D8" s="41">
        <f>COUNTIF(本土語預排!$A$5:$A$154,A8)</f>
        <v/>
      </c>
      <c r="E8" s="41">
        <f>COUNTIF(特教抽離!$B$5:$B$124,A8)</f>
        <v/>
      </c>
    </row>
    <row r="9" ht="17.15" customHeight="1" s="36">
      <c r="A9" s="40" t="inlineStr">
        <is>
          <t>1年6班</t>
        </is>
      </c>
      <c r="B9" s="41">
        <f>SUMIF(科任配課!$C$5:$C$304,A9,科任配課!$D$5:$D$304)</f>
        <v/>
      </c>
      <c r="C9" s="41">
        <f>SUMIFS(科任配課!$F$5:$F$304,科任配課!$C$5:$C$304,A9,科任配課!$E$5:$E$304,"&lt;&gt;原班教室")</f>
        <v/>
      </c>
      <c r="D9" s="41">
        <f>COUNTIF(本土語預排!$A$5:$A$154,A9)</f>
        <v/>
      </c>
      <c r="E9" s="41">
        <f>COUNTIF(特教抽離!$B$5:$B$124,A9)</f>
        <v/>
      </c>
    </row>
    <row r="10" ht="17.15" customHeight="1" s="36">
      <c r="A10" s="40" t="inlineStr">
        <is>
          <t>1年7班</t>
        </is>
      </c>
      <c r="B10" s="41">
        <f>SUMIF(科任配課!$C$5:$C$304,A10,科任配課!$D$5:$D$304)</f>
        <v/>
      </c>
      <c r="C10" s="41">
        <f>SUMIFS(科任配課!$F$5:$F$304,科任配課!$C$5:$C$304,A10,科任配課!$E$5:$E$304,"&lt;&gt;原班教室")</f>
        <v/>
      </c>
      <c r="D10" s="41">
        <f>COUNTIF(本土語預排!$A$5:$A$154,A10)</f>
        <v/>
      </c>
      <c r="E10" s="41">
        <f>COUNTIF(特教抽離!$B$5:$B$124,A10)</f>
        <v/>
      </c>
    </row>
    <row r="11" ht="17.15" customHeight="1" s="36">
      <c r="A11" s="40" t="inlineStr">
        <is>
          <t>1年8班</t>
        </is>
      </c>
      <c r="B11" s="41">
        <f>SUMIF(科任配課!$C$5:$C$304,A11,科任配課!$D$5:$D$304)</f>
        <v/>
      </c>
      <c r="C11" s="41">
        <f>SUMIFS(科任配課!$F$5:$F$304,科任配課!$C$5:$C$304,A11,科任配課!$E$5:$E$304,"&lt;&gt;原班教室")</f>
        <v/>
      </c>
      <c r="D11" s="41">
        <f>COUNTIF(本土語預排!$A$5:$A$154,A11)</f>
        <v/>
      </c>
      <c r="E11" s="41">
        <f>COUNTIF(特教抽離!$B$5:$B$124,A11)</f>
        <v/>
      </c>
    </row>
    <row r="12" ht="17.15" customHeight="1" s="36">
      <c r="A12" s="40" t="inlineStr">
        <is>
          <t>1年9班</t>
        </is>
      </c>
      <c r="B12" s="41">
        <f>SUMIF(科任配課!$C$5:$C$304,A12,科任配課!$D$5:$D$304)</f>
        <v/>
      </c>
      <c r="C12" s="41">
        <f>SUMIFS(科任配課!$F$5:$F$304,科任配課!$C$5:$C$304,A12,科任配課!$E$5:$E$304,"&lt;&gt;原班教室")</f>
        <v/>
      </c>
      <c r="D12" s="41">
        <f>COUNTIF(本土語預排!$A$5:$A$154,A12)</f>
        <v/>
      </c>
      <c r="E12" s="41">
        <f>COUNTIF(特教抽離!$B$5:$B$124,A12)</f>
        <v/>
      </c>
    </row>
    <row r="13" ht="17.15" customHeight="1" s="36">
      <c r="A13" s="40" t="inlineStr">
        <is>
          <t>1年10班</t>
        </is>
      </c>
      <c r="B13" s="41">
        <f>SUMIF(科任配課!$C$5:$C$304,A13,科任配課!$D$5:$D$304)</f>
        <v/>
      </c>
      <c r="C13" s="41">
        <f>SUMIFS(科任配課!$F$5:$F$304,科任配課!$C$5:$C$304,A13,科任配課!$E$5:$E$304,"&lt;&gt;原班教室")</f>
        <v/>
      </c>
      <c r="D13" s="41">
        <f>COUNTIF(本土語預排!$A$5:$A$154,A13)</f>
        <v/>
      </c>
      <c r="E13" s="41">
        <f>COUNTIF(特教抽離!$B$5:$B$124,A13)</f>
        <v/>
      </c>
    </row>
    <row r="14" ht="17.15" customHeight="1" s="36">
      <c r="A14" s="40" t="inlineStr">
        <is>
          <t>1年11班</t>
        </is>
      </c>
      <c r="B14" s="41">
        <f>SUMIF(科任配課!$C$5:$C$304,A14,科任配課!$D$5:$D$304)</f>
        <v/>
      </c>
      <c r="C14" s="41">
        <f>SUMIFS(科任配課!$F$5:$F$304,科任配課!$C$5:$C$304,A14,科任配課!$E$5:$E$304,"&lt;&gt;原班教室")</f>
        <v/>
      </c>
      <c r="D14" s="41">
        <f>COUNTIF(本土語預排!$A$5:$A$154,A14)</f>
        <v/>
      </c>
      <c r="E14" s="41">
        <f>COUNTIF(特教抽離!$B$5:$B$124,A14)</f>
        <v/>
      </c>
    </row>
    <row r="15" ht="17.15" customHeight="1" s="36">
      <c r="A15" s="40" t="inlineStr">
        <is>
          <t>1年12班</t>
        </is>
      </c>
      <c r="B15" s="41">
        <f>SUMIF(科任配課!$C$5:$C$304,A15,科任配課!$D$5:$D$304)</f>
        <v/>
      </c>
      <c r="C15" s="41">
        <f>SUMIFS(科任配課!$F$5:$F$304,科任配課!$C$5:$C$304,A15,科任配課!$E$5:$E$304,"&lt;&gt;原班教室")</f>
        <v/>
      </c>
      <c r="D15" s="41">
        <f>COUNTIF(本土語預排!$A$5:$A$154,A15)</f>
        <v/>
      </c>
      <c r="E15" s="41">
        <f>COUNTIF(特教抽離!$B$5:$B$124,A15)</f>
        <v/>
      </c>
    </row>
    <row r="16" ht="17.15" customHeight="1" s="36">
      <c r="A16" s="40" t="inlineStr">
        <is>
          <t>2年1班</t>
        </is>
      </c>
      <c r="B16" s="41">
        <f>SUMIF(科任配課!$C$5:$C$304,A16,科任配課!$D$5:$D$304)</f>
        <v/>
      </c>
      <c r="C16" s="41">
        <f>SUMIFS(科任配課!$F$5:$F$304,科任配課!$C$5:$C$304,A16,科任配課!$E$5:$E$304,"&lt;&gt;原班教室")</f>
        <v/>
      </c>
      <c r="D16" s="41">
        <f>COUNTIF(本土語預排!$A$5:$A$154,A16)</f>
        <v/>
      </c>
      <c r="E16" s="41">
        <f>COUNTIF(特教抽離!$B$5:$B$124,A16)</f>
        <v/>
      </c>
    </row>
    <row r="17" ht="17.15" customHeight="1" s="36">
      <c r="A17" s="40" t="inlineStr">
        <is>
          <t>2年2班</t>
        </is>
      </c>
      <c r="B17" s="41">
        <f>SUMIF(科任配課!$C$5:$C$304,A17,科任配課!$D$5:$D$304)</f>
        <v/>
      </c>
      <c r="C17" s="41">
        <f>SUMIFS(科任配課!$F$5:$F$304,科任配課!$C$5:$C$304,A17,科任配課!$E$5:$E$304,"&lt;&gt;原班教室")</f>
        <v/>
      </c>
      <c r="D17" s="41">
        <f>COUNTIF(本土語預排!$A$5:$A$154,A17)</f>
        <v/>
      </c>
      <c r="E17" s="41">
        <f>COUNTIF(特教抽離!$B$5:$B$124,A17)</f>
        <v/>
      </c>
    </row>
    <row r="18" ht="17.15" customHeight="1" s="36">
      <c r="A18" s="40" t="inlineStr">
        <is>
          <t>2年3班</t>
        </is>
      </c>
      <c r="B18" s="41">
        <f>SUMIF(科任配課!$C$5:$C$304,A18,科任配課!$D$5:$D$304)</f>
        <v/>
      </c>
      <c r="C18" s="41">
        <f>SUMIFS(科任配課!$F$5:$F$304,科任配課!$C$5:$C$304,A18,科任配課!$E$5:$E$304,"&lt;&gt;原班教室")</f>
        <v/>
      </c>
      <c r="D18" s="41">
        <f>COUNTIF(本土語預排!$A$5:$A$154,A18)</f>
        <v/>
      </c>
      <c r="E18" s="41">
        <f>COUNTIF(特教抽離!$B$5:$B$124,A18)</f>
        <v/>
      </c>
    </row>
    <row r="19" ht="17.15" customHeight="1" s="36">
      <c r="A19" s="40" t="inlineStr">
        <is>
          <t>2年4班</t>
        </is>
      </c>
      <c r="B19" s="41">
        <f>SUMIF(科任配課!$C$5:$C$304,A19,科任配課!$D$5:$D$304)</f>
        <v/>
      </c>
      <c r="C19" s="41">
        <f>SUMIFS(科任配課!$F$5:$F$304,科任配課!$C$5:$C$304,A19,科任配課!$E$5:$E$304,"&lt;&gt;原班教室")</f>
        <v/>
      </c>
      <c r="D19" s="41">
        <f>COUNTIF(本土語預排!$A$5:$A$154,A19)</f>
        <v/>
      </c>
      <c r="E19" s="41">
        <f>COUNTIF(特教抽離!$B$5:$B$124,A19)</f>
        <v/>
      </c>
    </row>
    <row r="20" ht="17.15" customHeight="1" s="36">
      <c r="A20" s="40" t="inlineStr">
        <is>
          <t>2年5班</t>
        </is>
      </c>
      <c r="B20" s="41">
        <f>SUMIF(科任配課!$C$5:$C$304,A20,科任配課!$D$5:$D$304)</f>
        <v/>
      </c>
      <c r="C20" s="41">
        <f>SUMIFS(科任配課!$F$5:$F$304,科任配課!$C$5:$C$304,A20,科任配課!$E$5:$E$304,"&lt;&gt;原班教室")</f>
        <v/>
      </c>
      <c r="D20" s="41">
        <f>COUNTIF(本土語預排!$A$5:$A$154,A20)</f>
        <v/>
      </c>
      <c r="E20" s="41">
        <f>COUNTIF(特教抽離!$B$5:$B$124,A20)</f>
        <v/>
      </c>
    </row>
    <row r="21" ht="17.15" customHeight="1" s="36">
      <c r="A21" s="40" t="inlineStr">
        <is>
          <t>2年6班</t>
        </is>
      </c>
      <c r="B21" s="41">
        <f>SUMIF(科任配課!$C$5:$C$304,A21,科任配課!$D$5:$D$304)</f>
        <v/>
      </c>
      <c r="C21" s="41">
        <f>SUMIFS(科任配課!$F$5:$F$304,科任配課!$C$5:$C$304,A21,科任配課!$E$5:$E$304,"&lt;&gt;原班教室")</f>
        <v/>
      </c>
      <c r="D21" s="41">
        <f>COUNTIF(本土語預排!$A$5:$A$154,A21)</f>
        <v/>
      </c>
      <c r="E21" s="41">
        <f>COUNTIF(特教抽離!$B$5:$B$124,A21)</f>
        <v/>
      </c>
    </row>
    <row r="22" ht="17.15" customHeight="1" s="36">
      <c r="A22" s="40" t="inlineStr">
        <is>
          <t>2年7班</t>
        </is>
      </c>
      <c r="B22" s="41">
        <f>SUMIF(科任配課!$C$5:$C$304,A22,科任配課!$D$5:$D$304)</f>
        <v/>
      </c>
      <c r="C22" s="41">
        <f>SUMIFS(科任配課!$F$5:$F$304,科任配課!$C$5:$C$304,A22,科任配課!$E$5:$E$304,"&lt;&gt;原班教室")</f>
        <v/>
      </c>
      <c r="D22" s="41">
        <f>COUNTIF(本土語預排!$A$5:$A$154,A22)</f>
        <v/>
      </c>
      <c r="E22" s="41">
        <f>COUNTIF(特教抽離!$B$5:$B$124,A22)</f>
        <v/>
      </c>
    </row>
    <row r="23" ht="17.15" customHeight="1" s="36">
      <c r="A23" s="40" t="inlineStr">
        <is>
          <t>2年8班</t>
        </is>
      </c>
      <c r="B23" s="41">
        <f>SUMIF(科任配課!$C$5:$C$304,A23,科任配課!$D$5:$D$304)</f>
        <v/>
      </c>
      <c r="C23" s="41">
        <f>SUMIFS(科任配課!$F$5:$F$304,科任配課!$C$5:$C$304,A23,科任配課!$E$5:$E$304,"&lt;&gt;原班教室")</f>
        <v/>
      </c>
      <c r="D23" s="41">
        <f>COUNTIF(本土語預排!$A$5:$A$154,A23)</f>
        <v/>
      </c>
      <c r="E23" s="41">
        <f>COUNTIF(特教抽離!$B$5:$B$124,A23)</f>
        <v/>
      </c>
    </row>
    <row r="24" ht="17.15" customHeight="1" s="36">
      <c r="A24" s="40" t="inlineStr">
        <is>
          <t>2年9班</t>
        </is>
      </c>
      <c r="B24" s="41">
        <f>SUMIF(科任配課!$C$5:$C$304,A24,科任配課!$D$5:$D$304)</f>
        <v/>
      </c>
      <c r="C24" s="41">
        <f>SUMIFS(科任配課!$F$5:$F$304,科任配課!$C$5:$C$304,A24,科任配課!$E$5:$E$304,"&lt;&gt;原班教室")</f>
        <v/>
      </c>
      <c r="D24" s="41">
        <f>COUNTIF(本土語預排!$A$5:$A$154,A24)</f>
        <v/>
      </c>
      <c r="E24" s="41">
        <f>COUNTIF(特教抽離!$B$5:$B$124,A24)</f>
        <v/>
      </c>
    </row>
    <row r="25" ht="17.15" customHeight="1" s="36">
      <c r="A25" s="40" t="inlineStr">
        <is>
          <t>2年10班</t>
        </is>
      </c>
      <c r="B25" s="41">
        <f>SUMIF(科任配課!$C$5:$C$304,A25,科任配課!$D$5:$D$304)</f>
        <v/>
      </c>
      <c r="C25" s="41">
        <f>SUMIFS(科任配課!$F$5:$F$304,科任配課!$C$5:$C$304,A25,科任配課!$E$5:$E$304,"&lt;&gt;原班教室")</f>
        <v/>
      </c>
      <c r="D25" s="41">
        <f>COUNTIF(本土語預排!$A$5:$A$154,A25)</f>
        <v/>
      </c>
      <c r="E25" s="41">
        <f>COUNTIF(特教抽離!$B$5:$B$124,A25)</f>
        <v/>
      </c>
    </row>
    <row r="26" ht="17.15" customHeight="1" s="36">
      <c r="A26" s="40" t="inlineStr">
        <is>
          <t>2年11班</t>
        </is>
      </c>
      <c r="B26" s="41">
        <f>SUMIF(科任配課!$C$5:$C$304,A26,科任配課!$D$5:$D$304)</f>
        <v/>
      </c>
      <c r="C26" s="41">
        <f>SUMIFS(科任配課!$F$5:$F$304,科任配課!$C$5:$C$304,A26,科任配課!$E$5:$E$304,"&lt;&gt;原班教室")</f>
        <v/>
      </c>
      <c r="D26" s="41">
        <f>COUNTIF(本土語預排!$A$5:$A$154,A26)</f>
        <v/>
      </c>
      <c r="E26" s="41">
        <f>COUNTIF(特教抽離!$B$5:$B$124,A26)</f>
        <v/>
      </c>
    </row>
    <row r="27" ht="17.15" customHeight="1" s="36">
      <c r="A27" s="40" t="inlineStr">
        <is>
          <t>3年1班</t>
        </is>
      </c>
      <c r="B27" s="41">
        <f>SUMIF(科任配課!$C$5:$C$304,A27,科任配課!$D$5:$D$304)</f>
        <v/>
      </c>
      <c r="C27" s="41">
        <f>SUMIFS(科任配課!$F$5:$F$304,科任配課!$C$5:$C$304,A27,科任配課!$E$5:$E$304,"&lt;&gt;原班教室")</f>
        <v/>
      </c>
      <c r="D27" s="41">
        <f>COUNTIF(本土語預排!$A$5:$A$154,A27)</f>
        <v/>
      </c>
      <c r="E27" s="41">
        <f>COUNTIF(特教抽離!$B$5:$B$124,A27)</f>
        <v/>
      </c>
    </row>
    <row r="28" ht="17.15" customHeight="1" s="36">
      <c r="A28" s="40" t="inlineStr">
        <is>
          <t>3年2班</t>
        </is>
      </c>
      <c r="B28" s="41">
        <f>SUMIF(科任配課!$C$5:$C$304,A28,科任配課!$D$5:$D$304)</f>
        <v/>
      </c>
      <c r="C28" s="41">
        <f>SUMIFS(科任配課!$F$5:$F$304,科任配課!$C$5:$C$304,A28,科任配課!$E$5:$E$304,"&lt;&gt;原班教室")</f>
        <v/>
      </c>
      <c r="D28" s="41">
        <f>COUNTIF(本土語預排!$A$5:$A$154,A28)</f>
        <v/>
      </c>
      <c r="E28" s="41">
        <f>COUNTIF(特教抽離!$B$5:$B$124,A28)</f>
        <v/>
      </c>
    </row>
    <row r="29" ht="17.15" customHeight="1" s="36">
      <c r="A29" s="40" t="inlineStr">
        <is>
          <t>3年3班</t>
        </is>
      </c>
      <c r="B29" s="41">
        <f>SUMIF(科任配課!$C$5:$C$304,A29,科任配課!$D$5:$D$304)</f>
        <v/>
      </c>
      <c r="C29" s="41">
        <f>SUMIFS(科任配課!$F$5:$F$304,科任配課!$C$5:$C$304,A29,科任配課!$E$5:$E$304,"&lt;&gt;原班教室")</f>
        <v/>
      </c>
      <c r="D29" s="41">
        <f>COUNTIF(本土語預排!$A$5:$A$154,A29)</f>
        <v/>
      </c>
      <c r="E29" s="41">
        <f>COUNTIF(特教抽離!$B$5:$B$124,A29)</f>
        <v/>
      </c>
    </row>
    <row r="30" ht="17.15" customHeight="1" s="36">
      <c r="A30" s="40" t="inlineStr">
        <is>
          <t>3年4班</t>
        </is>
      </c>
      <c r="B30" s="41">
        <f>SUMIF(科任配課!$C$5:$C$304,A30,科任配課!$D$5:$D$304)</f>
        <v/>
      </c>
      <c r="C30" s="41">
        <f>SUMIFS(科任配課!$F$5:$F$304,科任配課!$C$5:$C$304,A30,科任配課!$E$5:$E$304,"&lt;&gt;原班教室")</f>
        <v/>
      </c>
      <c r="D30" s="41">
        <f>COUNTIF(本土語預排!$A$5:$A$154,A30)</f>
        <v/>
      </c>
      <c r="E30" s="41">
        <f>COUNTIF(特教抽離!$B$5:$B$124,A30)</f>
        <v/>
      </c>
    </row>
    <row r="31" ht="17.15" customHeight="1" s="36">
      <c r="A31" s="40" t="inlineStr">
        <is>
          <t>3年5班</t>
        </is>
      </c>
      <c r="B31" s="41">
        <f>SUMIF(科任配課!$C$5:$C$304,A31,科任配課!$D$5:$D$304)</f>
        <v/>
      </c>
      <c r="C31" s="41">
        <f>SUMIFS(科任配課!$F$5:$F$304,科任配課!$C$5:$C$304,A31,科任配課!$E$5:$E$304,"&lt;&gt;原班教室")</f>
        <v/>
      </c>
      <c r="D31" s="41">
        <f>COUNTIF(本土語預排!$A$5:$A$154,A31)</f>
        <v/>
      </c>
      <c r="E31" s="41">
        <f>COUNTIF(特教抽離!$B$5:$B$124,A31)</f>
        <v/>
      </c>
    </row>
    <row r="32" ht="17.15" customHeight="1" s="36">
      <c r="A32" s="40" t="inlineStr">
        <is>
          <t>3年6班</t>
        </is>
      </c>
      <c r="B32" s="41">
        <f>SUMIF(科任配課!$C$5:$C$304,A32,科任配課!$D$5:$D$304)</f>
        <v/>
      </c>
      <c r="C32" s="41">
        <f>SUMIFS(科任配課!$F$5:$F$304,科任配課!$C$5:$C$304,A32,科任配課!$E$5:$E$304,"&lt;&gt;原班教室")</f>
        <v/>
      </c>
      <c r="D32" s="41">
        <f>COUNTIF(本土語預排!$A$5:$A$154,A32)</f>
        <v/>
      </c>
      <c r="E32" s="41">
        <f>COUNTIF(特教抽離!$B$5:$B$124,A32)</f>
        <v/>
      </c>
    </row>
    <row r="33" ht="17.15" customHeight="1" s="36">
      <c r="A33" s="40" t="inlineStr">
        <is>
          <t>3年7班</t>
        </is>
      </c>
      <c r="B33" s="41">
        <f>SUMIF(科任配課!$C$5:$C$304,A33,科任配課!$D$5:$D$304)</f>
        <v/>
      </c>
      <c r="C33" s="41">
        <f>SUMIFS(科任配課!$F$5:$F$304,科任配課!$C$5:$C$304,A33,科任配課!$E$5:$E$304,"&lt;&gt;原班教室")</f>
        <v/>
      </c>
      <c r="D33" s="41">
        <f>COUNTIF(本土語預排!$A$5:$A$154,A33)</f>
        <v/>
      </c>
      <c r="E33" s="41">
        <f>COUNTIF(特教抽離!$B$5:$B$124,A33)</f>
        <v/>
      </c>
    </row>
    <row r="34" ht="17.15" customHeight="1" s="36">
      <c r="A34" s="40" t="inlineStr">
        <is>
          <t>3年8班</t>
        </is>
      </c>
      <c r="B34" s="41">
        <f>SUMIF(科任配課!$C$5:$C$304,A34,科任配課!$D$5:$D$304)</f>
        <v/>
      </c>
      <c r="C34" s="41">
        <f>SUMIFS(科任配課!$F$5:$F$304,科任配課!$C$5:$C$304,A34,科任配課!$E$5:$E$304,"&lt;&gt;原班教室")</f>
        <v/>
      </c>
      <c r="D34" s="41">
        <f>COUNTIF(本土語預排!$A$5:$A$154,A34)</f>
        <v/>
      </c>
      <c r="E34" s="41">
        <f>COUNTIF(特教抽離!$B$5:$B$124,A34)</f>
        <v/>
      </c>
    </row>
    <row r="35" ht="17.15" customHeight="1" s="36">
      <c r="A35" s="40" t="inlineStr">
        <is>
          <t>3年9班</t>
        </is>
      </c>
      <c r="B35" s="41">
        <f>SUMIF(科任配課!$C$5:$C$304,A35,科任配課!$D$5:$D$304)</f>
        <v/>
      </c>
      <c r="C35" s="41">
        <f>SUMIFS(科任配課!$F$5:$F$304,科任配課!$C$5:$C$304,A35,科任配課!$E$5:$E$304,"&lt;&gt;原班教室")</f>
        <v/>
      </c>
      <c r="D35" s="41">
        <f>COUNTIF(本土語預排!$A$5:$A$154,A35)</f>
        <v/>
      </c>
      <c r="E35" s="41">
        <f>COUNTIF(特教抽離!$B$5:$B$124,A35)</f>
        <v/>
      </c>
    </row>
    <row r="36" ht="17.15" customHeight="1" s="36">
      <c r="A36" s="40" t="inlineStr">
        <is>
          <t>3年10班</t>
        </is>
      </c>
      <c r="B36" s="41">
        <f>SUMIF(科任配課!$C$5:$C$304,A36,科任配課!$D$5:$D$304)</f>
        <v/>
      </c>
      <c r="C36" s="41">
        <f>SUMIFS(科任配課!$F$5:$F$304,科任配課!$C$5:$C$304,A36,科任配課!$E$5:$E$304,"&lt;&gt;原班教室")</f>
        <v/>
      </c>
      <c r="D36" s="41">
        <f>COUNTIF(本土語預排!$A$5:$A$154,A36)</f>
        <v/>
      </c>
      <c r="E36" s="41">
        <f>COUNTIF(特教抽離!$B$5:$B$124,A36)</f>
        <v/>
      </c>
    </row>
    <row r="37" ht="17.15" customHeight="1" s="36">
      <c r="A37" s="40" t="inlineStr">
        <is>
          <t>3年11班</t>
        </is>
      </c>
      <c r="B37" s="41">
        <f>SUMIF(科任配課!$C$5:$C$304,A37,科任配課!$D$5:$D$304)</f>
        <v/>
      </c>
      <c r="C37" s="41">
        <f>SUMIFS(科任配課!$F$5:$F$304,科任配課!$C$5:$C$304,A37,科任配課!$E$5:$E$304,"&lt;&gt;原班教室")</f>
        <v/>
      </c>
      <c r="D37" s="41">
        <f>COUNTIF(本土語預排!$A$5:$A$154,A37)</f>
        <v/>
      </c>
      <c r="E37" s="41">
        <f>COUNTIF(特教抽離!$B$5:$B$124,A37)</f>
        <v/>
      </c>
    </row>
    <row r="38" ht="17.15" customHeight="1" s="36">
      <c r="A38" s="40" t="inlineStr">
        <is>
          <t>3年12班</t>
        </is>
      </c>
      <c r="B38" s="41">
        <f>SUMIF(科任配課!$C$5:$C$304,A38,科任配課!$D$5:$D$304)</f>
        <v/>
      </c>
      <c r="C38" s="41">
        <f>SUMIFS(科任配課!$F$5:$F$304,科任配課!$C$5:$C$304,A38,科任配課!$E$5:$E$304,"&lt;&gt;原班教室")</f>
        <v/>
      </c>
      <c r="D38" s="41">
        <f>COUNTIF(本土語預排!$A$5:$A$154,A38)</f>
        <v/>
      </c>
      <c r="E38" s="41">
        <f>COUNTIF(特教抽離!$B$5:$B$124,A38)</f>
        <v/>
      </c>
    </row>
    <row r="39" ht="17.15" customHeight="1" s="36">
      <c r="A39" s="40" t="inlineStr">
        <is>
          <t>4年1班</t>
        </is>
      </c>
      <c r="B39" s="41">
        <f>SUMIF(科任配課!$C$5:$C$304,A39,科任配課!$D$5:$D$304)</f>
        <v/>
      </c>
      <c r="C39" s="41">
        <f>SUMIFS(科任配課!$F$5:$F$304,科任配課!$C$5:$C$304,A39,科任配課!$E$5:$E$304,"&lt;&gt;原班教室")</f>
        <v/>
      </c>
      <c r="D39" s="41">
        <f>COUNTIF(本土語預排!$A$5:$A$154,A39)</f>
        <v/>
      </c>
      <c r="E39" s="41">
        <f>COUNTIF(特教抽離!$B$5:$B$124,A39)</f>
        <v/>
      </c>
    </row>
    <row r="40" ht="17.15" customHeight="1" s="36">
      <c r="A40" s="40" t="inlineStr">
        <is>
          <t>4年2班</t>
        </is>
      </c>
      <c r="B40" s="41">
        <f>SUMIF(科任配課!$C$5:$C$304,A40,科任配課!$D$5:$D$304)</f>
        <v/>
      </c>
      <c r="C40" s="41">
        <f>SUMIFS(科任配課!$F$5:$F$304,科任配課!$C$5:$C$304,A40,科任配課!$E$5:$E$304,"&lt;&gt;原班教室")</f>
        <v/>
      </c>
      <c r="D40" s="41">
        <f>COUNTIF(本土語預排!$A$5:$A$154,A40)</f>
        <v/>
      </c>
      <c r="E40" s="41">
        <f>COUNTIF(特教抽離!$B$5:$B$124,A40)</f>
        <v/>
      </c>
    </row>
    <row r="41" ht="17.15" customHeight="1" s="36">
      <c r="A41" s="40" t="inlineStr">
        <is>
          <t>4年3班</t>
        </is>
      </c>
      <c r="B41" s="41">
        <f>SUMIF(科任配課!$C$5:$C$304,A41,科任配課!$D$5:$D$304)</f>
        <v/>
      </c>
      <c r="C41" s="41">
        <f>SUMIFS(科任配課!$F$5:$F$304,科任配課!$C$5:$C$304,A41,科任配課!$E$5:$E$304,"&lt;&gt;原班教室")</f>
        <v/>
      </c>
      <c r="D41" s="41">
        <f>COUNTIF(本土語預排!$A$5:$A$154,A41)</f>
        <v/>
      </c>
      <c r="E41" s="41">
        <f>COUNTIF(特教抽離!$B$5:$B$124,A41)</f>
        <v/>
      </c>
    </row>
    <row r="42" ht="17.15" customHeight="1" s="36">
      <c r="A42" s="40" t="inlineStr">
        <is>
          <t>4年4班</t>
        </is>
      </c>
      <c r="B42" s="41">
        <f>SUMIF(科任配課!$C$5:$C$304,A42,科任配課!$D$5:$D$304)</f>
        <v/>
      </c>
      <c r="C42" s="41">
        <f>SUMIFS(科任配課!$F$5:$F$304,科任配課!$C$5:$C$304,A42,科任配課!$E$5:$E$304,"&lt;&gt;原班教室")</f>
        <v/>
      </c>
      <c r="D42" s="41">
        <f>COUNTIF(本土語預排!$A$5:$A$154,A42)</f>
        <v/>
      </c>
      <c r="E42" s="41">
        <f>COUNTIF(特教抽離!$B$5:$B$124,A42)</f>
        <v/>
      </c>
    </row>
    <row r="43" ht="17.15" customHeight="1" s="36">
      <c r="A43" s="40" t="inlineStr">
        <is>
          <t>4年5班</t>
        </is>
      </c>
      <c r="B43" s="41">
        <f>SUMIF(科任配課!$C$5:$C$304,A43,科任配課!$D$5:$D$304)</f>
        <v/>
      </c>
      <c r="C43" s="41">
        <f>SUMIFS(科任配課!$F$5:$F$304,科任配課!$C$5:$C$304,A43,科任配課!$E$5:$E$304,"&lt;&gt;原班教室")</f>
        <v/>
      </c>
      <c r="D43" s="41">
        <f>COUNTIF(本土語預排!$A$5:$A$154,A43)</f>
        <v/>
      </c>
      <c r="E43" s="41">
        <f>COUNTIF(特教抽離!$B$5:$B$124,A43)</f>
        <v/>
      </c>
    </row>
    <row r="44" ht="17.15" customHeight="1" s="36">
      <c r="A44" s="40" t="inlineStr">
        <is>
          <t>4年6班</t>
        </is>
      </c>
      <c r="B44" s="41">
        <f>SUMIF(科任配課!$C$5:$C$304,A44,科任配課!$D$5:$D$304)</f>
        <v/>
      </c>
      <c r="C44" s="41">
        <f>SUMIFS(科任配課!$F$5:$F$304,科任配課!$C$5:$C$304,A44,科任配課!$E$5:$E$304,"&lt;&gt;原班教室")</f>
        <v/>
      </c>
      <c r="D44" s="41">
        <f>COUNTIF(本土語預排!$A$5:$A$154,A44)</f>
        <v/>
      </c>
      <c r="E44" s="41">
        <f>COUNTIF(特教抽離!$B$5:$B$124,A44)</f>
        <v/>
      </c>
    </row>
    <row r="45" ht="17.15" customHeight="1" s="36">
      <c r="A45" s="40" t="inlineStr">
        <is>
          <t>4年7班</t>
        </is>
      </c>
      <c r="B45" s="41">
        <f>SUMIF(科任配課!$C$5:$C$304,A45,科任配課!$D$5:$D$304)</f>
        <v/>
      </c>
      <c r="C45" s="41">
        <f>SUMIFS(科任配課!$F$5:$F$304,科任配課!$C$5:$C$304,A45,科任配課!$E$5:$E$304,"&lt;&gt;原班教室")</f>
        <v/>
      </c>
      <c r="D45" s="41">
        <f>COUNTIF(本土語預排!$A$5:$A$154,A45)</f>
        <v/>
      </c>
      <c r="E45" s="41">
        <f>COUNTIF(特教抽離!$B$5:$B$124,A45)</f>
        <v/>
      </c>
    </row>
    <row r="46" ht="17.15" customHeight="1" s="36">
      <c r="A46" s="40" t="inlineStr">
        <is>
          <t>4年8班</t>
        </is>
      </c>
      <c r="B46" s="41">
        <f>SUMIF(科任配課!$C$5:$C$304,A46,科任配課!$D$5:$D$304)</f>
        <v/>
      </c>
      <c r="C46" s="41">
        <f>SUMIFS(科任配課!$F$5:$F$304,科任配課!$C$5:$C$304,A46,科任配課!$E$5:$E$304,"&lt;&gt;原班教室")</f>
        <v/>
      </c>
      <c r="D46" s="41">
        <f>COUNTIF(本土語預排!$A$5:$A$154,A46)</f>
        <v/>
      </c>
      <c r="E46" s="41">
        <f>COUNTIF(特教抽離!$B$5:$B$124,A46)</f>
        <v/>
      </c>
    </row>
    <row r="47" ht="17.15" customHeight="1" s="36">
      <c r="A47" s="40" t="inlineStr">
        <is>
          <t>4年9班</t>
        </is>
      </c>
      <c r="B47" s="41">
        <f>SUMIF(科任配課!$C$5:$C$304,A47,科任配課!$D$5:$D$304)</f>
        <v/>
      </c>
      <c r="C47" s="41">
        <f>SUMIFS(科任配課!$F$5:$F$304,科任配課!$C$5:$C$304,A47,科任配課!$E$5:$E$304,"&lt;&gt;原班教室")</f>
        <v/>
      </c>
      <c r="D47" s="41">
        <f>COUNTIF(本土語預排!$A$5:$A$154,A47)</f>
        <v/>
      </c>
      <c r="E47" s="41">
        <f>COUNTIF(特教抽離!$B$5:$B$124,A47)</f>
        <v/>
      </c>
    </row>
    <row r="48" ht="17.15" customHeight="1" s="36">
      <c r="A48" s="40" t="inlineStr">
        <is>
          <t>4年10班</t>
        </is>
      </c>
      <c r="B48" s="41">
        <f>SUMIF(科任配課!$C$5:$C$304,A48,科任配課!$D$5:$D$304)</f>
        <v/>
      </c>
      <c r="C48" s="41">
        <f>SUMIFS(科任配課!$F$5:$F$304,科任配課!$C$5:$C$304,A48,科任配課!$E$5:$E$304,"&lt;&gt;原班教室")</f>
        <v/>
      </c>
      <c r="D48" s="41">
        <f>COUNTIF(本土語預排!$A$5:$A$154,A48)</f>
        <v/>
      </c>
      <c r="E48" s="41">
        <f>COUNTIF(特教抽離!$B$5:$B$124,A48)</f>
        <v/>
      </c>
    </row>
    <row r="49" ht="17.15" customHeight="1" s="36">
      <c r="A49" s="40" t="inlineStr">
        <is>
          <t>4年11班</t>
        </is>
      </c>
      <c r="B49" s="41">
        <f>SUMIF(科任配課!$C$5:$C$304,A49,科任配課!$D$5:$D$304)</f>
        <v/>
      </c>
      <c r="C49" s="41">
        <f>SUMIFS(科任配課!$F$5:$F$304,科任配課!$C$5:$C$304,A49,科任配課!$E$5:$E$304,"&lt;&gt;原班教室")</f>
        <v/>
      </c>
      <c r="D49" s="41">
        <f>COUNTIF(本土語預排!$A$5:$A$154,A49)</f>
        <v/>
      </c>
      <c r="E49" s="41">
        <f>COUNTIF(特教抽離!$B$5:$B$124,A49)</f>
        <v/>
      </c>
    </row>
    <row r="50" ht="17.15" customHeight="1" s="36">
      <c r="A50" s="40" t="inlineStr">
        <is>
          <t>4年12班</t>
        </is>
      </c>
      <c r="B50" s="41">
        <f>SUMIF(科任配課!$C$5:$C$304,A50,科任配課!$D$5:$D$304)</f>
        <v/>
      </c>
      <c r="C50" s="41">
        <f>SUMIFS(科任配課!$F$5:$F$304,科任配課!$C$5:$C$304,A50,科任配課!$E$5:$E$304,"&lt;&gt;原班教室")</f>
        <v/>
      </c>
      <c r="D50" s="41">
        <f>COUNTIF(本土語預排!$A$5:$A$154,A50)</f>
        <v/>
      </c>
      <c r="E50" s="41">
        <f>COUNTIF(特教抽離!$B$5:$B$124,A50)</f>
        <v/>
      </c>
    </row>
    <row r="51" ht="17.15" customHeight="1" s="36">
      <c r="A51" s="40" t="inlineStr">
        <is>
          <t>5年1班</t>
        </is>
      </c>
      <c r="B51" s="41">
        <f>SUMIF(科任配課!$C$5:$C$304,A51,科任配課!$D$5:$D$304)</f>
        <v/>
      </c>
      <c r="C51" s="41">
        <f>SUMIFS(科任配課!$F$5:$F$304,科任配課!$C$5:$C$304,A51,科任配課!$E$5:$E$304,"&lt;&gt;原班教室")</f>
        <v/>
      </c>
      <c r="D51" s="41">
        <f>COUNTIF(本土語預排!$A$5:$A$154,A51)</f>
        <v/>
      </c>
      <c r="E51" s="41">
        <f>COUNTIF(特教抽離!$B$5:$B$124,A51)</f>
        <v/>
      </c>
    </row>
    <row r="52" ht="17.15" customHeight="1" s="36">
      <c r="A52" s="40" t="inlineStr">
        <is>
          <t>5年2班</t>
        </is>
      </c>
      <c r="B52" s="41">
        <f>SUMIF(科任配課!$C$5:$C$304,A52,科任配課!$D$5:$D$304)</f>
        <v/>
      </c>
      <c r="C52" s="41">
        <f>SUMIFS(科任配課!$F$5:$F$304,科任配課!$C$5:$C$304,A52,科任配課!$E$5:$E$304,"&lt;&gt;原班教室")</f>
        <v/>
      </c>
      <c r="D52" s="41">
        <f>COUNTIF(本土語預排!$A$5:$A$154,A52)</f>
        <v/>
      </c>
      <c r="E52" s="41">
        <f>COUNTIF(特教抽離!$B$5:$B$124,A52)</f>
        <v/>
      </c>
    </row>
    <row r="53" ht="17.15" customHeight="1" s="36">
      <c r="A53" s="40" t="inlineStr">
        <is>
          <t>5年3班</t>
        </is>
      </c>
      <c r="B53" s="41">
        <f>SUMIF(科任配課!$C$5:$C$304,A53,科任配課!$D$5:$D$304)</f>
        <v/>
      </c>
      <c r="C53" s="41">
        <f>SUMIFS(科任配課!$F$5:$F$304,科任配課!$C$5:$C$304,A53,科任配課!$E$5:$E$304,"&lt;&gt;原班教室")</f>
        <v/>
      </c>
      <c r="D53" s="41">
        <f>COUNTIF(本土語預排!$A$5:$A$154,A53)</f>
        <v/>
      </c>
      <c r="E53" s="41">
        <f>COUNTIF(特教抽離!$B$5:$B$124,A53)</f>
        <v/>
      </c>
    </row>
    <row r="54" ht="17.15" customHeight="1" s="36">
      <c r="A54" s="40" t="inlineStr">
        <is>
          <t>5年4班</t>
        </is>
      </c>
      <c r="B54" s="41">
        <f>SUMIF(科任配課!$C$5:$C$304,A54,科任配課!$D$5:$D$304)</f>
        <v/>
      </c>
      <c r="C54" s="41">
        <f>SUMIFS(科任配課!$F$5:$F$304,科任配課!$C$5:$C$304,A54,科任配課!$E$5:$E$304,"&lt;&gt;原班教室")</f>
        <v/>
      </c>
      <c r="D54" s="41">
        <f>COUNTIF(本土語預排!$A$5:$A$154,A54)</f>
        <v/>
      </c>
      <c r="E54" s="41">
        <f>COUNTIF(特教抽離!$B$5:$B$124,A54)</f>
        <v/>
      </c>
    </row>
    <row r="55" ht="17.15" customHeight="1" s="36">
      <c r="A55" s="40" t="inlineStr">
        <is>
          <t>5年5班</t>
        </is>
      </c>
      <c r="B55" s="41">
        <f>SUMIF(科任配課!$C$5:$C$304,A55,科任配課!$D$5:$D$304)</f>
        <v/>
      </c>
      <c r="C55" s="41">
        <f>SUMIFS(科任配課!$F$5:$F$304,科任配課!$C$5:$C$304,A55,科任配課!$E$5:$E$304,"&lt;&gt;原班教室")</f>
        <v/>
      </c>
      <c r="D55" s="41">
        <f>COUNTIF(本土語預排!$A$5:$A$154,A55)</f>
        <v/>
      </c>
      <c r="E55" s="41">
        <f>COUNTIF(特教抽離!$B$5:$B$124,A55)</f>
        <v/>
      </c>
    </row>
    <row r="56" ht="17.15" customHeight="1" s="36">
      <c r="A56" s="40" t="inlineStr">
        <is>
          <t>5年6班</t>
        </is>
      </c>
      <c r="B56" s="41">
        <f>SUMIF(科任配課!$C$5:$C$304,A56,科任配課!$D$5:$D$304)</f>
        <v/>
      </c>
      <c r="C56" s="41">
        <f>SUMIFS(科任配課!$F$5:$F$304,科任配課!$C$5:$C$304,A56,科任配課!$E$5:$E$304,"&lt;&gt;原班教室")</f>
        <v/>
      </c>
      <c r="D56" s="41">
        <f>COUNTIF(本土語預排!$A$5:$A$154,A56)</f>
        <v/>
      </c>
      <c r="E56" s="41">
        <f>COUNTIF(特教抽離!$B$5:$B$124,A56)</f>
        <v/>
      </c>
    </row>
    <row r="57" ht="17.15" customHeight="1" s="36">
      <c r="A57" s="40" t="inlineStr">
        <is>
          <t>5年7班</t>
        </is>
      </c>
      <c r="B57" s="41">
        <f>SUMIF(科任配課!$C$5:$C$304,A57,科任配課!$D$5:$D$304)</f>
        <v/>
      </c>
      <c r="C57" s="41">
        <f>SUMIFS(科任配課!$F$5:$F$304,科任配課!$C$5:$C$304,A57,科任配課!$E$5:$E$304,"&lt;&gt;原班教室")</f>
        <v/>
      </c>
      <c r="D57" s="41">
        <f>COUNTIF(本土語預排!$A$5:$A$154,A57)</f>
        <v/>
      </c>
      <c r="E57" s="41">
        <f>COUNTIF(特教抽離!$B$5:$B$124,A57)</f>
        <v/>
      </c>
    </row>
    <row r="58" ht="17.15" customHeight="1" s="36">
      <c r="A58" s="40" t="inlineStr">
        <is>
          <t>5年8班</t>
        </is>
      </c>
      <c r="B58" s="41">
        <f>SUMIF(科任配課!$C$5:$C$304,A58,科任配課!$D$5:$D$304)</f>
        <v/>
      </c>
      <c r="C58" s="41">
        <f>SUMIFS(科任配課!$F$5:$F$304,科任配課!$C$5:$C$304,A58,科任配課!$E$5:$E$304,"&lt;&gt;原班教室")</f>
        <v/>
      </c>
      <c r="D58" s="41">
        <f>COUNTIF(本土語預排!$A$5:$A$154,A58)</f>
        <v/>
      </c>
      <c r="E58" s="41">
        <f>COUNTIF(特教抽離!$B$5:$B$124,A58)</f>
        <v/>
      </c>
    </row>
    <row r="59" ht="17.15" customHeight="1" s="36">
      <c r="A59" s="40" t="inlineStr">
        <is>
          <t>5年9班</t>
        </is>
      </c>
      <c r="B59" s="41">
        <f>SUMIF(科任配課!$C$5:$C$304,A59,科任配課!$D$5:$D$304)</f>
        <v/>
      </c>
      <c r="C59" s="41">
        <f>SUMIFS(科任配課!$F$5:$F$304,科任配課!$C$5:$C$304,A59,科任配課!$E$5:$E$304,"&lt;&gt;原班教室")</f>
        <v/>
      </c>
      <c r="D59" s="41">
        <f>COUNTIF(本土語預排!$A$5:$A$154,A59)</f>
        <v/>
      </c>
      <c r="E59" s="41">
        <f>COUNTIF(特教抽離!$B$5:$B$124,A59)</f>
        <v/>
      </c>
    </row>
    <row r="60" ht="17.15" customHeight="1" s="36">
      <c r="A60" s="40" t="inlineStr">
        <is>
          <t>5年10班</t>
        </is>
      </c>
      <c r="B60" s="41">
        <f>SUMIF(科任配課!$C$5:$C$304,A60,科任配課!$D$5:$D$304)</f>
        <v/>
      </c>
      <c r="C60" s="41">
        <f>SUMIFS(科任配課!$F$5:$F$304,科任配課!$C$5:$C$304,A60,科任配課!$E$5:$E$304,"&lt;&gt;原班教室")</f>
        <v/>
      </c>
      <c r="D60" s="41">
        <f>COUNTIF(本土語預排!$A$5:$A$154,A60)</f>
        <v/>
      </c>
      <c r="E60" s="41">
        <f>COUNTIF(特教抽離!$B$5:$B$124,A60)</f>
        <v/>
      </c>
    </row>
    <row r="61" ht="17.15" customHeight="1" s="36">
      <c r="A61" s="40" t="inlineStr">
        <is>
          <t>5年11班</t>
        </is>
      </c>
      <c r="B61" s="41">
        <f>SUMIF(科任配課!$C$5:$C$304,A61,科任配課!$D$5:$D$304)</f>
        <v/>
      </c>
      <c r="C61" s="41">
        <f>SUMIFS(科任配課!$F$5:$F$304,科任配課!$C$5:$C$304,A61,科任配課!$E$5:$E$304,"&lt;&gt;原班教室")</f>
        <v/>
      </c>
      <c r="D61" s="41">
        <f>COUNTIF(本土語預排!$A$5:$A$154,A61)</f>
        <v/>
      </c>
      <c r="E61" s="41">
        <f>COUNTIF(特教抽離!$B$5:$B$124,A61)</f>
        <v/>
      </c>
    </row>
    <row r="62" ht="17.15" customHeight="1" s="36">
      <c r="A62" s="40" t="inlineStr">
        <is>
          <t>5年12班</t>
        </is>
      </c>
      <c r="B62" s="41">
        <f>SUMIF(科任配課!$C$5:$C$304,A62,科任配課!$D$5:$D$304)</f>
        <v/>
      </c>
      <c r="C62" s="41">
        <f>SUMIFS(科任配課!$F$5:$F$304,科任配課!$C$5:$C$304,A62,科任配課!$E$5:$E$304,"&lt;&gt;原班教室")</f>
        <v/>
      </c>
      <c r="D62" s="41">
        <f>COUNTIF(本土語預排!$A$5:$A$154,A62)</f>
        <v/>
      </c>
      <c r="E62" s="41">
        <f>COUNTIF(特教抽離!$B$5:$B$124,A62)</f>
        <v/>
      </c>
    </row>
    <row r="63" ht="17.15" customHeight="1" s="36">
      <c r="A63" s="40" t="inlineStr">
        <is>
          <t>6年1班</t>
        </is>
      </c>
      <c r="B63" s="41">
        <f>SUMIF(科任配課!$C$5:$C$304,A63,科任配課!$D$5:$D$304)</f>
        <v/>
      </c>
      <c r="C63" s="41">
        <f>SUMIFS(科任配課!$F$5:$F$304,科任配課!$C$5:$C$304,A63,科任配課!$E$5:$E$304,"&lt;&gt;原班教室")</f>
        <v/>
      </c>
      <c r="D63" s="41">
        <f>COUNTIF(本土語預排!$A$5:$A$154,A63)</f>
        <v/>
      </c>
      <c r="E63" s="41">
        <f>COUNTIF(特教抽離!$B$5:$B$124,A63)</f>
        <v/>
      </c>
    </row>
    <row r="64" ht="17.15" customHeight="1" s="36">
      <c r="A64" s="40" t="inlineStr">
        <is>
          <t>6年2班</t>
        </is>
      </c>
      <c r="B64" s="41">
        <f>SUMIF(科任配課!$C$5:$C$304,A64,科任配課!$D$5:$D$304)</f>
        <v/>
      </c>
      <c r="C64" s="41">
        <f>SUMIFS(科任配課!$F$5:$F$304,科任配課!$C$5:$C$304,A64,科任配課!$E$5:$E$304,"&lt;&gt;原班教室")</f>
        <v/>
      </c>
      <c r="D64" s="41">
        <f>COUNTIF(本土語預排!$A$5:$A$154,A64)</f>
        <v/>
      </c>
      <c r="E64" s="41">
        <f>COUNTIF(特教抽離!$B$5:$B$124,A64)</f>
        <v/>
      </c>
    </row>
    <row r="65" ht="17.15" customHeight="1" s="36">
      <c r="A65" s="40" t="inlineStr">
        <is>
          <t>6年3班</t>
        </is>
      </c>
      <c r="B65" s="41">
        <f>SUMIF(科任配課!$C$5:$C$304,A65,科任配課!$D$5:$D$304)</f>
        <v/>
      </c>
      <c r="C65" s="41">
        <f>SUMIFS(科任配課!$F$5:$F$304,科任配課!$C$5:$C$304,A65,科任配課!$E$5:$E$304,"&lt;&gt;原班教室")</f>
        <v/>
      </c>
      <c r="D65" s="41">
        <f>COUNTIF(本土語預排!$A$5:$A$154,A65)</f>
        <v/>
      </c>
      <c r="E65" s="41">
        <f>COUNTIF(特教抽離!$B$5:$B$124,A65)</f>
        <v/>
      </c>
    </row>
    <row r="66" ht="17.15" customHeight="1" s="36">
      <c r="A66" s="40" t="inlineStr">
        <is>
          <t>6年4班</t>
        </is>
      </c>
      <c r="B66" s="41">
        <f>SUMIF(科任配課!$C$5:$C$304,A66,科任配課!$D$5:$D$304)</f>
        <v/>
      </c>
      <c r="C66" s="41">
        <f>SUMIFS(科任配課!$F$5:$F$304,科任配課!$C$5:$C$304,A66,科任配課!$E$5:$E$304,"&lt;&gt;原班教室")</f>
        <v/>
      </c>
      <c r="D66" s="41">
        <f>COUNTIF(本土語預排!$A$5:$A$154,A66)</f>
        <v/>
      </c>
      <c r="E66" s="41">
        <f>COUNTIF(特教抽離!$B$5:$B$124,A66)</f>
        <v/>
      </c>
    </row>
    <row r="67" ht="17.15" customHeight="1" s="36">
      <c r="A67" s="40" t="inlineStr">
        <is>
          <t>6年5班</t>
        </is>
      </c>
      <c r="B67" s="41">
        <f>SUMIF(科任配課!$C$5:$C$304,A67,科任配課!$D$5:$D$304)</f>
        <v/>
      </c>
      <c r="C67" s="41">
        <f>SUMIFS(科任配課!$F$5:$F$304,科任配課!$C$5:$C$304,A67,科任配課!$E$5:$E$304,"&lt;&gt;原班教室")</f>
        <v/>
      </c>
      <c r="D67" s="41">
        <f>COUNTIF(本土語預排!$A$5:$A$154,A67)</f>
        <v/>
      </c>
      <c r="E67" s="41">
        <f>COUNTIF(特教抽離!$B$5:$B$124,A67)</f>
        <v/>
      </c>
    </row>
    <row r="68" ht="17.15" customHeight="1" s="36">
      <c r="A68" s="40" t="inlineStr">
        <is>
          <t>6年6班</t>
        </is>
      </c>
      <c r="B68" s="41">
        <f>SUMIF(科任配課!$C$5:$C$304,A68,科任配課!$D$5:$D$304)</f>
        <v/>
      </c>
      <c r="C68" s="41">
        <f>SUMIFS(科任配課!$F$5:$F$304,科任配課!$C$5:$C$304,A68,科任配課!$E$5:$E$304,"&lt;&gt;原班教室")</f>
        <v/>
      </c>
      <c r="D68" s="41">
        <f>COUNTIF(本土語預排!$A$5:$A$154,A68)</f>
        <v/>
      </c>
      <c r="E68" s="41">
        <f>COUNTIF(特教抽離!$B$5:$B$124,A68)</f>
        <v/>
      </c>
    </row>
    <row r="69" ht="17.15" customHeight="1" s="36">
      <c r="A69" s="40" t="inlineStr">
        <is>
          <t>6年7班</t>
        </is>
      </c>
      <c r="B69" s="41">
        <f>SUMIF(科任配課!$C$5:$C$304,A69,科任配課!$D$5:$D$304)</f>
        <v/>
      </c>
      <c r="C69" s="41">
        <f>SUMIFS(科任配課!$F$5:$F$304,科任配課!$C$5:$C$304,A69,科任配課!$E$5:$E$304,"&lt;&gt;原班教室")</f>
        <v/>
      </c>
      <c r="D69" s="41">
        <f>COUNTIF(本土語預排!$A$5:$A$154,A69)</f>
        <v/>
      </c>
      <c r="E69" s="41">
        <f>COUNTIF(特教抽離!$B$5:$B$124,A69)</f>
        <v/>
      </c>
    </row>
    <row r="70" ht="17.15" customHeight="1" s="36">
      <c r="A70" s="40" t="inlineStr">
        <is>
          <t>6年8班</t>
        </is>
      </c>
      <c r="B70" s="41">
        <f>SUMIF(科任配課!$C$5:$C$304,A70,科任配課!$D$5:$D$304)</f>
        <v/>
      </c>
      <c r="C70" s="41">
        <f>SUMIFS(科任配課!$F$5:$F$304,科任配課!$C$5:$C$304,A70,科任配課!$E$5:$E$304,"&lt;&gt;原班教室")</f>
        <v/>
      </c>
      <c r="D70" s="41">
        <f>COUNTIF(本土語預排!$A$5:$A$154,A70)</f>
        <v/>
      </c>
      <c r="E70" s="41">
        <f>COUNTIF(特教抽離!$B$5:$B$124,A70)</f>
        <v/>
      </c>
    </row>
    <row r="71" ht="17.15" customHeight="1" s="36">
      <c r="A71" s="40" t="inlineStr">
        <is>
          <t>6年9班</t>
        </is>
      </c>
      <c r="B71" s="41">
        <f>SUMIF(科任配課!$C$5:$C$304,A71,科任配課!$D$5:$D$304)</f>
        <v/>
      </c>
      <c r="C71" s="41">
        <f>SUMIFS(科任配課!$F$5:$F$304,科任配課!$C$5:$C$304,A71,科任配課!$E$5:$E$304,"&lt;&gt;原班教室")</f>
        <v/>
      </c>
      <c r="D71" s="41">
        <f>COUNTIF(本土語預排!$A$5:$A$154,A71)</f>
        <v/>
      </c>
      <c r="E71" s="41">
        <f>COUNTIF(特教抽離!$B$5:$B$124,A71)</f>
        <v/>
      </c>
    </row>
    <row r="72" ht="17.15" customHeight="1" s="36">
      <c r="A72" s="40" t="inlineStr">
        <is>
          <t>6年10班</t>
        </is>
      </c>
      <c r="B72" s="41">
        <f>SUMIF(科任配課!$C$5:$C$304,A72,科任配課!$D$5:$D$304)</f>
        <v/>
      </c>
      <c r="C72" s="41">
        <f>SUMIFS(科任配課!$F$5:$F$304,科任配課!$C$5:$C$304,A72,科任配課!$E$5:$E$304,"&lt;&gt;原班教室")</f>
        <v/>
      </c>
      <c r="D72" s="41">
        <f>COUNTIF(本土語預排!$A$5:$A$154,A72)</f>
        <v/>
      </c>
      <c r="E72" s="41">
        <f>COUNTIF(特教抽離!$B$5:$B$124,A72)</f>
        <v/>
      </c>
    </row>
    <row r="73" ht="17.15" customHeight="1" s="36">
      <c r="A73" s="40" t="inlineStr">
        <is>
          <t>6年11班</t>
        </is>
      </c>
      <c r="B73" s="41">
        <f>SUMIF(科任配課!$C$5:$C$304,A73,科任配課!$D$5:$D$304)</f>
        <v/>
      </c>
      <c r="C73" s="41">
        <f>SUMIFS(科任配課!$F$5:$F$304,科任配課!$C$5:$C$304,A73,科任配課!$E$5:$E$304,"&lt;&gt;原班教室")</f>
        <v/>
      </c>
      <c r="D73" s="41">
        <f>COUNTIF(本土語預排!$A$5:$A$154,A73)</f>
        <v/>
      </c>
      <c r="E73" s="41">
        <f>COUNTIF(特教抽離!$B$5:$B$124,A73)</f>
        <v/>
      </c>
    </row>
    <row r="74" ht="17.15" customHeight="1" s="36">
      <c r="A74" s="40" t="inlineStr">
        <is>
          <t>6年12班</t>
        </is>
      </c>
      <c r="B74" s="41">
        <f>SUMIF(科任配課!$C$5:$C$304,A74,科任配課!$D$5:$D$304)</f>
        <v/>
      </c>
      <c r="C74" s="41">
        <f>SUMIFS(科任配課!$F$5:$F$304,科任配課!$C$5:$C$304,A74,科任配課!$E$5:$E$304,"&lt;&gt;原班教室")</f>
        <v/>
      </c>
      <c r="D74" s="41">
        <f>COUNTIF(本土語預排!$A$5:$A$154,A74)</f>
        <v/>
      </c>
      <c r="E74" s="41">
        <f>COUNTIF(特教抽離!$B$5:$B$124,A74)</f>
        <v/>
      </c>
    </row>
    <row r="75" ht="17.15" customHeight="1" s="36">
      <c r="A75" s="70" t="inlineStr">
        <is>
          <t>合計</t>
        </is>
      </c>
      <c r="B75" s="70">
        <f>SUM(B4:B74)</f>
        <v/>
      </c>
      <c r="C75" s="70">
        <f>SUM(C4:C74)</f>
        <v/>
      </c>
      <c r="D75" s="70">
        <f>SUM(D4:D74)</f>
        <v/>
      </c>
      <c r="E75" s="70">
        <f>SUM(E4:E74)</f>
        <v/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M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36">
      <c r="A1" s="47" t="inlineStr">
        <is>
          <t>科目</t>
        </is>
      </c>
      <c r="B1" s="47" t="inlineStr">
        <is>
          <t>班級</t>
        </is>
      </c>
      <c r="C1" s="47" t="inlineStr">
        <is>
          <t>星期</t>
        </is>
      </c>
      <c r="D1" s="47" t="inlineStr">
        <is>
          <t>節次</t>
        </is>
      </c>
      <c r="E1" s="47" t="inlineStr">
        <is>
          <t>語別</t>
        </is>
      </c>
      <c r="F1" s="47" t="inlineStr">
        <is>
          <t>程度</t>
        </is>
      </c>
      <c r="G1" s="47" t="inlineStr">
        <is>
          <t>層級</t>
        </is>
      </c>
      <c r="H1" s="47" t="inlineStr">
        <is>
          <t>重要度</t>
        </is>
      </c>
      <c r="I1" s="47" t="inlineStr">
        <is>
          <t>啟用</t>
        </is>
      </c>
      <c r="J1" s="47" t="inlineStr">
        <is>
          <t>地點</t>
        </is>
      </c>
      <c r="K1" s="47" t="inlineStr">
        <is>
          <t>特教類型</t>
        </is>
      </c>
      <c r="L1" s="47" t="inlineStr">
        <is>
          <t>時段</t>
        </is>
      </c>
      <c r="M1" s="47" t="inlineStr">
        <is>
          <t>積木</t>
        </is>
      </c>
    </row>
    <row r="2" ht="17.15" customHeight="1" s="36">
      <c r="A2" s="71" t="inlineStr">
        <is>
          <t>英語</t>
        </is>
      </c>
      <c r="B2" s="35" t="inlineStr">
        <is>
          <t>1年1班</t>
        </is>
      </c>
      <c r="C2" s="71" t="inlineStr">
        <is>
          <t>一</t>
        </is>
      </c>
      <c r="D2" s="35" t="inlineStr">
        <is>
          <t>1</t>
        </is>
      </c>
      <c r="E2" s="71" t="inlineStr">
        <is>
          <t>閩南語</t>
        </is>
      </c>
      <c r="F2" s="71" t="inlineStr">
        <is>
          <t>必須</t>
        </is>
      </c>
      <c r="G2" s="35" t="inlineStr">
        <is>
          <t>0 法規</t>
        </is>
      </c>
      <c r="H2" s="71" t="inlineStr">
        <is>
          <t>高</t>
        </is>
      </c>
      <c r="I2" s="71" t="inlineStr">
        <is>
          <t>是</t>
        </is>
      </c>
      <c r="J2" s="71" t="inlineStr">
        <is>
          <t>原班教室</t>
        </is>
      </c>
      <c r="K2" s="71" t="inlineStr">
        <is>
          <t>資源班抽離</t>
        </is>
      </c>
      <c r="L2" s="35" t="inlineStr">
        <is>
          <t>1</t>
        </is>
      </c>
      <c r="M2" s="71" t="inlineStr">
        <is>
          <t>職務不排時段</t>
        </is>
      </c>
    </row>
    <row r="3" ht="17.15" customHeight="1" s="36">
      <c r="A3" s="71" t="inlineStr">
        <is>
          <t>自然</t>
        </is>
      </c>
      <c r="B3" s="35" t="inlineStr">
        <is>
          <t>1年2班</t>
        </is>
      </c>
      <c r="C3" s="71" t="inlineStr">
        <is>
          <t>二</t>
        </is>
      </c>
      <c r="D3" s="35" t="inlineStr">
        <is>
          <t>2</t>
        </is>
      </c>
      <c r="E3" s="71" t="inlineStr">
        <is>
          <t>客語</t>
        </is>
      </c>
      <c r="F3" s="71" t="inlineStr">
        <is>
          <t>希望</t>
        </is>
      </c>
      <c r="G3" s="35" t="inlineStr">
        <is>
          <t>1 鎖定</t>
        </is>
      </c>
      <c r="H3" s="71" t="inlineStr">
        <is>
          <t>中</t>
        </is>
      </c>
      <c r="I3" s="71" t="inlineStr">
        <is>
          <t>否</t>
        </is>
      </c>
      <c r="J3" s="71" t="inlineStr">
        <is>
          <t>自然教室</t>
        </is>
      </c>
      <c r="K3" s="71" t="inlineStr">
        <is>
          <t>集中式特教班</t>
        </is>
      </c>
      <c r="L3" s="35" t="inlineStr">
        <is>
          <t>2</t>
        </is>
      </c>
      <c r="M3" s="71" t="inlineStr">
        <is>
          <t>鎖定時段</t>
        </is>
      </c>
    </row>
    <row r="4" ht="17.15" customHeight="1" s="36">
      <c r="A4" s="71" t="inlineStr">
        <is>
          <t>社會</t>
        </is>
      </c>
      <c r="B4" s="35" t="inlineStr">
        <is>
          <t>1年3班</t>
        </is>
      </c>
      <c r="C4" s="71" t="inlineStr">
        <is>
          <t>三</t>
        </is>
      </c>
      <c r="D4" s="35" t="inlineStr">
        <is>
          <t>3</t>
        </is>
      </c>
      <c r="E4" s="71" t="inlineStr">
        <is>
          <t>族語</t>
        </is>
      </c>
      <c r="G4" s="35" t="inlineStr">
        <is>
          <t>2 必須</t>
        </is>
      </c>
      <c r="H4" s="71" t="inlineStr">
        <is>
          <t>低</t>
        </is>
      </c>
      <c r="J4" s="71" t="inlineStr">
        <is>
          <t>音樂教室</t>
        </is>
      </c>
      <c r="L4" s="35" t="inlineStr">
        <is>
          <t>3</t>
        </is>
      </c>
      <c r="M4" s="71" t="inlineStr">
        <is>
          <t>科目不排時段</t>
        </is>
      </c>
    </row>
    <row r="5" ht="17.15" customHeight="1" s="36">
      <c r="A5" s="71" t="inlineStr">
        <is>
          <t>健康</t>
        </is>
      </c>
      <c r="B5" s="35" t="inlineStr">
        <is>
          <t>1年4班</t>
        </is>
      </c>
      <c r="C5" s="71" t="inlineStr">
        <is>
          <t>四</t>
        </is>
      </c>
      <c r="D5" s="35" t="inlineStr">
        <is>
          <t>4</t>
        </is>
      </c>
      <c r="E5" s="71" t="inlineStr">
        <is>
          <t>新住民語</t>
        </is>
      </c>
      <c r="G5" s="35" t="inlineStr">
        <is>
          <t>3 盡量</t>
        </is>
      </c>
      <c r="H5" s="35" t="inlineStr">
        <is>
          <t>—</t>
        </is>
      </c>
      <c r="J5" s="71" t="inlineStr">
        <is>
          <t>電腦教室</t>
        </is>
      </c>
      <c r="L5" s="35" t="inlineStr">
        <is>
          <t>4</t>
        </is>
      </c>
      <c r="M5" s="71" t="inlineStr">
        <is>
          <t>老師不排時段</t>
        </is>
      </c>
    </row>
    <row r="6" ht="17.15" customHeight="1" s="36">
      <c r="A6" s="71" t="inlineStr">
        <is>
          <t>體育</t>
        </is>
      </c>
      <c r="B6" s="35" t="inlineStr">
        <is>
          <t>1年5班</t>
        </is>
      </c>
      <c r="C6" s="71" t="inlineStr">
        <is>
          <t>五</t>
        </is>
      </c>
      <c r="D6" s="35" t="inlineStr">
        <is>
          <t>5</t>
        </is>
      </c>
      <c r="E6" s="71" t="inlineStr">
        <is>
          <t>臺灣手語</t>
        </is>
      </c>
      <c r="J6" s="71" t="inlineStr">
        <is>
          <t>操場／體育館</t>
        </is>
      </c>
      <c r="L6" s="35" t="inlineStr">
        <is>
          <t>5</t>
        </is>
      </c>
      <c r="M6" s="71" t="inlineStr">
        <is>
          <t>每日節數上限</t>
        </is>
      </c>
    </row>
    <row r="7" ht="17.15" customHeight="1" s="36">
      <c r="A7" s="71" t="inlineStr">
        <is>
          <t>音樂</t>
        </is>
      </c>
      <c r="B7" s="35" t="inlineStr">
        <is>
          <t>1年6班</t>
        </is>
      </c>
      <c r="D7" s="35" t="inlineStr">
        <is>
          <t>6</t>
        </is>
      </c>
      <c r="J7" s="71" t="inlineStr">
        <is>
          <t>其他專科教室</t>
        </is>
      </c>
      <c r="L7" s="35" t="inlineStr">
        <is>
          <t>6</t>
        </is>
      </c>
      <c r="M7" s="71" t="inlineStr">
        <is>
          <t>連堂</t>
        </is>
      </c>
    </row>
    <row r="8" ht="17.15" customHeight="1" s="36">
      <c r="A8" s="71" t="inlineStr">
        <is>
          <t>美勞</t>
        </is>
      </c>
      <c r="B8" s="35" t="inlineStr">
        <is>
          <t>1年7班</t>
        </is>
      </c>
      <c r="D8" s="35" t="inlineStr">
        <is>
          <t>7</t>
        </is>
      </c>
      <c r="L8" s="35" t="inlineStr">
        <is>
          <t>7</t>
        </is>
      </c>
      <c r="M8" s="71" t="inlineStr">
        <is>
          <t>教室容量</t>
        </is>
      </c>
    </row>
    <row r="9" ht="17.15" customHeight="1" s="36">
      <c r="A9" s="71" t="inlineStr">
        <is>
          <t>資訊</t>
        </is>
      </c>
      <c r="B9" s="35" t="inlineStr">
        <is>
          <t>1年8班</t>
        </is>
      </c>
      <c r="L9" s="71" t="inlineStr">
        <is>
          <t>上午</t>
        </is>
      </c>
      <c r="M9" s="71" t="inlineStr">
        <is>
          <t>跑班距離</t>
        </is>
      </c>
    </row>
    <row r="10" ht="17.15" customHeight="1" s="36">
      <c r="A10" s="71" t="inlineStr">
        <is>
          <t>表演藝術</t>
        </is>
      </c>
      <c r="B10" s="35" t="inlineStr">
        <is>
          <t>1年9班</t>
        </is>
      </c>
      <c r="L10" s="71" t="inlineStr">
        <is>
          <t>下午</t>
        </is>
      </c>
      <c r="M10" s="71" t="inlineStr">
        <is>
          <t>其他</t>
        </is>
      </c>
    </row>
    <row r="11" ht="17.15" customHeight="1" s="36">
      <c r="A11" s="71" t="inlineStr">
        <is>
          <t>綜合</t>
        </is>
      </c>
      <c r="B11" s="35" t="inlineStr">
        <is>
          <t>1年10班</t>
        </is>
      </c>
      <c r="L11" s="71" t="inlineStr">
        <is>
          <t>整天</t>
        </is>
      </c>
      <c r="M11" s="35" t="inlineStr">
        <is>
          <t>同科分散</t>
        </is>
      </c>
    </row>
    <row r="12" ht="17.15" customHeight="1" s="36">
      <c r="A12" s="71" t="inlineStr">
        <is>
          <t>彈性</t>
        </is>
      </c>
      <c r="B12" s="35" t="inlineStr">
        <is>
          <t>1年11班</t>
        </is>
      </c>
      <c r="M12" s="35" t="inlineStr">
        <is>
          <t>間隔天數</t>
        </is>
      </c>
    </row>
    <row r="13" ht="17.15" customHeight="1" s="36">
      <c r="A13" s="71" t="inlineStr">
        <is>
          <t>其他</t>
        </is>
      </c>
      <c r="B13" s="35" t="inlineStr">
        <is>
          <t>1年12班</t>
        </is>
      </c>
    </row>
    <row r="14" ht="17.15" customHeight="1" s="36">
      <c r="B14" s="35" t="inlineStr">
        <is>
          <t>2年1班</t>
        </is>
      </c>
    </row>
    <row r="15" ht="17.15" customHeight="1" s="36">
      <c r="B15" s="35" t="inlineStr">
        <is>
          <t>2年2班</t>
        </is>
      </c>
    </row>
    <row r="16" ht="17.15" customHeight="1" s="36">
      <c r="B16" s="35" t="inlineStr">
        <is>
          <t>2年3班</t>
        </is>
      </c>
    </row>
    <row r="17" ht="17.15" customHeight="1" s="36">
      <c r="B17" s="35" t="inlineStr">
        <is>
          <t>2年4班</t>
        </is>
      </c>
    </row>
    <row r="18" ht="17.15" customHeight="1" s="36">
      <c r="B18" s="35" t="inlineStr">
        <is>
          <t>2年5班</t>
        </is>
      </c>
    </row>
    <row r="19" ht="17.15" customHeight="1" s="36">
      <c r="B19" s="35" t="inlineStr">
        <is>
          <t>2年6班</t>
        </is>
      </c>
    </row>
    <row r="20" ht="17.15" customHeight="1" s="36">
      <c r="B20" s="35" t="inlineStr">
        <is>
          <t>2年7班</t>
        </is>
      </c>
    </row>
    <row r="21" ht="17.15" customHeight="1" s="36">
      <c r="B21" s="35" t="inlineStr">
        <is>
          <t>2年8班</t>
        </is>
      </c>
    </row>
    <row r="22" ht="17.15" customHeight="1" s="36">
      <c r="B22" s="35" t="inlineStr">
        <is>
          <t>2年9班</t>
        </is>
      </c>
    </row>
    <row r="23" ht="17.15" customHeight="1" s="36">
      <c r="B23" s="35" t="inlineStr">
        <is>
          <t>2年10班</t>
        </is>
      </c>
    </row>
    <row r="24" ht="17.15" customHeight="1" s="36">
      <c r="B24" s="35" t="inlineStr">
        <is>
          <t>2年11班</t>
        </is>
      </c>
    </row>
    <row r="25" ht="17.15" customHeight="1" s="36">
      <c r="B25" s="35" t="inlineStr">
        <is>
          <t>3年1班</t>
        </is>
      </c>
    </row>
    <row r="26" ht="17.15" customHeight="1" s="36">
      <c r="B26" s="35" t="inlineStr">
        <is>
          <t>3年2班</t>
        </is>
      </c>
    </row>
    <row r="27" ht="17.15" customHeight="1" s="36">
      <c r="B27" s="35" t="inlineStr">
        <is>
          <t>3年3班</t>
        </is>
      </c>
    </row>
    <row r="28" ht="17.15" customHeight="1" s="36">
      <c r="B28" s="35" t="inlineStr">
        <is>
          <t>3年4班</t>
        </is>
      </c>
    </row>
    <row r="29" ht="17.15" customHeight="1" s="36">
      <c r="B29" s="35" t="inlineStr">
        <is>
          <t>3年5班</t>
        </is>
      </c>
    </row>
    <row r="30" ht="17.15" customHeight="1" s="36">
      <c r="B30" s="35" t="inlineStr">
        <is>
          <t>3年6班</t>
        </is>
      </c>
    </row>
    <row r="31" ht="17.15" customHeight="1" s="36">
      <c r="B31" s="35" t="inlineStr">
        <is>
          <t>3年7班</t>
        </is>
      </c>
    </row>
    <row r="32" ht="17.15" customHeight="1" s="36">
      <c r="B32" s="35" t="inlineStr">
        <is>
          <t>3年8班</t>
        </is>
      </c>
    </row>
    <row r="33" ht="17.15" customHeight="1" s="36">
      <c r="B33" s="35" t="inlineStr">
        <is>
          <t>3年9班</t>
        </is>
      </c>
    </row>
    <row r="34" ht="17.15" customHeight="1" s="36">
      <c r="B34" s="35" t="inlineStr">
        <is>
          <t>3年10班</t>
        </is>
      </c>
    </row>
    <row r="35" ht="17.15" customHeight="1" s="36">
      <c r="B35" s="35" t="inlineStr">
        <is>
          <t>3年11班</t>
        </is>
      </c>
    </row>
    <row r="36" ht="17.15" customHeight="1" s="36">
      <c r="B36" s="35" t="inlineStr">
        <is>
          <t>3年12班</t>
        </is>
      </c>
    </row>
    <row r="37" ht="17.15" customHeight="1" s="36">
      <c r="B37" s="35" t="inlineStr">
        <is>
          <t>4年1班</t>
        </is>
      </c>
    </row>
    <row r="38" ht="17.15" customHeight="1" s="36">
      <c r="B38" s="35" t="inlineStr">
        <is>
          <t>4年2班</t>
        </is>
      </c>
    </row>
    <row r="39" ht="17.15" customHeight="1" s="36">
      <c r="B39" s="35" t="inlineStr">
        <is>
          <t>4年3班</t>
        </is>
      </c>
    </row>
    <row r="40" ht="17.15" customHeight="1" s="36">
      <c r="B40" s="35" t="inlineStr">
        <is>
          <t>4年4班</t>
        </is>
      </c>
    </row>
    <row r="41" ht="17.15" customHeight="1" s="36">
      <c r="B41" s="35" t="inlineStr">
        <is>
          <t>4年5班</t>
        </is>
      </c>
    </row>
    <row r="42" ht="17.15" customHeight="1" s="36">
      <c r="B42" s="35" t="inlineStr">
        <is>
          <t>4年6班</t>
        </is>
      </c>
    </row>
    <row r="43" ht="17.15" customHeight="1" s="36">
      <c r="B43" s="35" t="inlineStr">
        <is>
          <t>4年7班</t>
        </is>
      </c>
    </row>
    <row r="44" ht="17.15" customHeight="1" s="36">
      <c r="B44" s="35" t="inlineStr">
        <is>
          <t>4年8班</t>
        </is>
      </c>
    </row>
    <row r="45" ht="17.15" customHeight="1" s="36">
      <c r="B45" s="35" t="inlineStr">
        <is>
          <t>4年9班</t>
        </is>
      </c>
    </row>
    <row r="46" ht="17.15" customHeight="1" s="36">
      <c r="B46" s="35" t="inlineStr">
        <is>
          <t>4年10班</t>
        </is>
      </c>
    </row>
    <row r="47" ht="17.15" customHeight="1" s="36">
      <c r="B47" s="35" t="inlineStr">
        <is>
          <t>4年11班</t>
        </is>
      </c>
    </row>
    <row r="48" ht="17.15" customHeight="1" s="36">
      <c r="B48" s="35" t="inlineStr">
        <is>
          <t>4年12班</t>
        </is>
      </c>
    </row>
    <row r="49" ht="17.15" customHeight="1" s="36">
      <c r="B49" s="35" t="inlineStr">
        <is>
          <t>5年1班</t>
        </is>
      </c>
    </row>
    <row r="50" ht="17.15" customHeight="1" s="36">
      <c r="B50" s="35" t="inlineStr">
        <is>
          <t>5年2班</t>
        </is>
      </c>
    </row>
    <row r="51" ht="17.15" customHeight="1" s="36">
      <c r="B51" s="35" t="inlineStr">
        <is>
          <t>5年3班</t>
        </is>
      </c>
    </row>
    <row r="52" ht="17.15" customHeight="1" s="36">
      <c r="B52" s="35" t="inlineStr">
        <is>
          <t>5年4班</t>
        </is>
      </c>
    </row>
    <row r="53" ht="17.15" customHeight="1" s="36">
      <c r="B53" s="35" t="inlineStr">
        <is>
          <t>5年5班</t>
        </is>
      </c>
    </row>
    <row r="54" ht="17.15" customHeight="1" s="36">
      <c r="B54" s="35" t="inlineStr">
        <is>
          <t>5年6班</t>
        </is>
      </c>
    </row>
    <row r="55" ht="17.15" customHeight="1" s="36">
      <c r="B55" s="35" t="inlineStr">
        <is>
          <t>5年7班</t>
        </is>
      </c>
    </row>
    <row r="56" ht="17.15" customHeight="1" s="36">
      <c r="B56" s="35" t="inlineStr">
        <is>
          <t>5年8班</t>
        </is>
      </c>
    </row>
    <row r="57" ht="17.15" customHeight="1" s="36">
      <c r="B57" s="35" t="inlineStr">
        <is>
          <t>5年9班</t>
        </is>
      </c>
    </row>
    <row r="58" ht="17.15" customHeight="1" s="36">
      <c r="B58" s="35" t="inlineStr">
        <is>
          <t>5年10班</t>
        </is>
      </c>
    </row>
    <row r="59" ht="17.15" customHeight="1" s="36">
      <c r="B59" s="35" t="inlineStr">
        <is>
          <t>5年11班</t>
        </is>
      </c>
    </row>
    <row r="60" ht="17.15" customHeight="1" s="36">
      <c r="B60" s="35" t="inlineStr">
        <is>
          <t>5年12班</t>
        </is>
      </c>
    </row>
    <row r="61" ht="17.15" customHeight="1" s="36">
      <c r="B61" s="35" t="inlineStr">
        <is>
          <t>6年1班</t>
        </is>
      </c>
    </row>
    <row r="62" ht="17.15" customHeight="1" s="36">
      <c r="B62" s="35" t="inlineStr">
        <is>
          <t>6年2班</t>
        </is>
      </c>
    </row>
    <row r="63" ht="17.15" customHeight="1" s="36">
      <c r="B63" s="35" t="inlineStr">
        <is>
          <t>6年3班</t>
        </is>
      </c>
    </row>
    <row r="64" ht="17.15" customHeight="1" s="36">
      <c r="B64" s="35" t="inlineStr">
        <is>
          <t>6年4班</t>
        </is>
      </c>
    </row>
    <row r="65" ht="17.15" customHeight="1" s="36">
      <c r="B65" s="35" t="inlineStr">
        <is>
          <t>6年5班</t>
        </is>
      </c>
    </row>
    <row r="66" ht="17.15" customHeight="1" s="36">
      <c r="B66" s="35" t="inlineStr">
        <is>
          <t>6年6班</t>
        </is>
      </c>
    </row>
    <row r="67" ht="17.15" customHeight="1" s="36">
      <c r="B67" s="35" t="inlineStr">
        <is>
          <t>6年7班</t>
        </is>
      </c>
    </row>
    <row r="68" ht="17.15" customHeight="1" s="36">
      <c r="B68" s="35" t="inlineStr">
        <is>
          <t>6年8班</t>
        </is>
      </c>
    </row>
    <row r="69" ht="17.15" customHeight="1" s="36">
      <c r="B69" s="35" t="inlineStr">
        <is>
          <t>6年9班</t>
        </is>
      </c>
    </row>
    <row r="70" ht="17.15" customHeight="1" s="36">
      <c r="B70" s="35" t="inlineStr">
        <is>
          <t>6年10班</t>
        </is>
      </c>
    </row>
    <row r="71" ht="17.15" customHeight="1" s="36">
      <c r="B71" s="35" t="inlineStr">
        <is>
          <t>6年11班</t>
        </is>
      </c>
    </row>
    <row r="72" ht="17.15" customHeight="1" s="36">
      <c r="B72" s="35" t="inlineStr">
        <is>
          <t>6年12班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2026-10-21T01:18:12Z</dcterms:created>
  <dcterms:modified xmlns:dcterms="http://purl.org/dc/terms/" xmlns:xsi="http://www.w3.org/2001/XMLSchema-instance" xsi:type="dcterms:W3CDTF">2026-10-21T03:48:33Z</dcterms:modified>
  <cp:revision>0</cp:revision>
</cp:coreProperties>
</file>